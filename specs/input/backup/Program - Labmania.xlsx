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ggita Sentral\Lab Mania ERP\"/>
    </mc:Choice>
  </mc:AlternateContent>
  <xr:revisionPtr revIDLastSave="0" documentId="13_ncr:1_{33768354-109F-4DB6-874C-0B20233C5E7B}" xr6:coauthVersionLast="47" xr6:coauthVersionMax="47" xr10:uidLastSave="{00000000-0000-0000-0000-000000000000}"/>
  <bookViews>
    <workbookView xWindow="-108" yWindow="-108" windowWidth="23256" windowHeight="12456" xr2:uid="{433C929D-18E0-44A0-8456-2E20E6E954D1}"/>
  </bookViews>
  <sheets>
    <sheet name="Requirements Costing" sheetId="1" r:id="rId1"/>
    <sheet name="Cost Master" sheetId="4" r:id="rId2"/>
    <sheet name="Product Costing" sheetId="3" r:id="rId3"/>
  </sheets>
  <definedNames>
    <definedName name="_xlnm._FilterDatabase" localSheetId="1" hidden="1">'Cost Master'!$A$3:$F$28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4" l="1"/>
  <c r="D34" i="4"/>
  <c r="D29" i="4"/>
  <c r="D11" i="4"/>
  <c r="D40" i="4"/>
  <c r="M10" i="3"/>
  <c r="M9" i="3"/>
  <c r="M8" i="3"/>
  <c r="M7" i="3"/>
  <c r="M6" i="3"/>
  <c r="M5" i="3"/>
  <c r="I6" i="3" l="1"/>
  <c r="I7" i="3"/>
  <c r="I8" i="3"/>
  <c r="I9" i="3"/>
  <c r="I10" i="3"/>
  <c r="I5" i="3"/>
  <c r="H5" i="3"/>
  <c r="H6" i="3"/>
  <c r="H7" i="3"/>
  <c r="H8" i="3"/>
  <c r="H9" i="3"/>
  <c r="H10" i="3"/>
  <c r="F6" i="3"/>
  <c r="F7" i="3"/>
  <c r="F5" i="3"/>
  <c r="F8" i="3"/>
  <c r="F9" i="3"/>
  <c r="F10" i="3"/>
  <c r="E6" i="3"/>
  <c r="E7" i="3"/>
  <c r="E8" i="3"/>
  <c r="E9" i="3"/>
  <c r="E10" i="3"/>
  <c r="E5" i="3"/>
  <c r="D39" i="4"/>
  <c r="J5" i="3" l="1"/>
  <c r="K5" i="3" s="1"/>
  <c r="G7" i="3"/>
  <c r="G5" i="3"/>
  <c r="L5" i="3" s="1"/>
  <c r="O5" i="3" s="1"/>
  <c r="J8" i="3"/>
  <c r="K8" i="3" s="1"/>
  <c r="J6" i="3"/>
  <c r="K6" i="3" s="1"/>
  <c r="J9" i="3"/>
  <c r="K9" i="3" s="1"/>
  <c r="J7" i="3"/>
  <c r="K7" i="3" s="1"/>
  <c r="G10" i="3"/>
  <c r="G9" i="3"/>
  <c r="G8" i="3"/>
  <c r="G6" i="3"/>
  <c r="J10" i="3"/>
  <c r="K10" i="3" s="1"/>
  <c r="L7" i="3" l="1"/>
  <c r="L10" i="3"/>
  <c r="L6" i="3"/>
  <c r="L8" i="3"/>
  <c r="L9" i="3"/>
  <c r="N5" i="3" l="1"/>
  <c r="O7" i="3"/>
  <c r="N7" i="3"/>
  <c r="N10" i="3"/>
  <c r="O10" i="3"/>
  <c r="O6" i="3"/>
  <c r="N6" i="3"/>
  <c r="N8" i="3"/>
  <c r="O8" i="3"/>
  <c r="N9" i="3"/>
  <c r="O9" i="3"/>
</calcChain>
</file>

<file path=xl/sharedStrings.xml><?xml version="1.0" encoding="utf-8"?>
<sst xmlns="http://schemas.openxmlformats.org/spreadsheetml/2006/main" count="283" uniqueCount="163">
  <si>
    <t>1. Requirements  Product Costing</t>
  </si>
  <si>
    <t>No</t>
  </si>
  <si>
    <t>Item</t>
  </si>
  <si>
    <t>Fix Requirements</t>
  </si>
  <si>
    <t>Catatan</t>
  </si>
  <si>
    <t>Pembagian biaya</t>
  </si>
  <si>
    <t>Biaya dibagi menjadi Fixed Cost (tidak bergantung jumlah peserta) dan Variable Cost (bergantung jumlah peserta).</t>
  </si>
  <si>
    <t>Satuan fixed cost</t>
  </si>
  <si>
    <t>/ Event (sekali per acara), / Day (per hari), / Hours (per jam).</t>
  </si>
  <si>
    <t>Satuan variable cost</t>
  </si>
  <si>
    <t>/ Peserta / Event (per peserta untuk seluruh acara) dan / Peserta / Day (per peserta per hari).</t>
  </si>
  <si>
    <t>Harga standar biaya</t>
  </si>
  <si>
    <t>Setiap item punya default cost yang bisa disesuaikan per event.</t>
  </si>
  <si>
    <t>Simulasi product costing</t>
  </si>
  <si>
    <t xml:space="preserve">1) Total fixed cost
2) Total variable cost
3) HPP
4) Profit
5) Harga BEP/Peserta
6) Jumlah peserta BEP
7) Target Profit
8) Harga jual
</t>
  </si>
  <si>
    <t>Target dan realisasi</t>
  </si>
  <si>
    <t>Kalau total peserta fix yang ikut kurang/lebih dari target yang sudah ada sebelumnya di product costing, maka harga jual per peserta tetap sama. Yang berubah adalah profit, cost tetap.</t>
  </si>
  <si>
    <t>2. Pain Point  Product Costing</t>
  </si>
  <si>
    <t>Solusi</t>
  </si>
  <si>
    <t>3.Wishlist  Product Costing</t>
  </si>
  <si>
    <t>Marketing/Ads</t>
  </si>
  <si>
    <t>Dokumentasi</t>
  </si>
  <si>
    <t>Goodybag</t>
  </si>
  <si>
    <t>Banner/Promosi</t>
  </si>
  <si>
    <t>Merchandise</t>
  </si>
  <si>
    <t>Administrasi</t>
  </si>
  <si>
    <t>Total</t>
  </si>
  <si>
    <t>Ongkir Dokumen</t>
  </si>
  <si>
    <t>Mandays Rate Charge Labmania</t>
  </si>
  <si>
    <t xml:space="preserve">Makan Siang Training </t>
  </si>
  <si>
    <t>Honor Trainer</t>
  </si>
  <si>
    <t>Coffee Break</t>
  </si>
  <si>
    <t>Hotel Trainer **</t>
  </si>
  <si>
    <t>Hotel Trainer ***</t>
  </si>
  <si>
    <t xml:space="preserve">SIMULASI </t>
  </si>
  <si>
    <t>FIXED COST</t>
  </si>
  <si>
    <t>VARIABLE COST</t>
  </si>
  <si>
    <t>HPP</t>
  </si>
  <si>
    <t>PENDAPATAN</t>
  </si>
  <si>
    <t>HASIL</t>
  </si>
  <si>
    <t>Hari</t>
  </si>
  <si>
    <t>Target Peserta</t>
  </si>
  <si>
    <t>Harga Jual / Peserta</t>
  </si>
  <si>
    <t>Rate / Event</t>
  </si>
  <si>
    <t>Rate / Day</t>
  </si>
  <si>
    <t>Total Fixed Cost
= Event + Day×Hari</t>
  </si>
  <si>
    <t>Rate / Peserta / Event</t>
  </si>
  <si>
    <t>Rate / Peserta / Day</t>
  </si>
  <si>
    <t>Biaya Var / Peserta
= Event + Day×Hari</t>
  </si>
  <si>
    <t>Total Variable Cost
= per Peserta × Peserta</t>
  </si>
  <si>
    <t>Total Pendapatan
= Harga × Peserta</t>
  </si>
  <si>
    <t>Profit
= Pendapatan − (Fixed + Variable)</t>
  </si>
  <si>
    <t>Harga BEP / Peserta</t>
  </si>
  <si>
    <t>COST MASTER — DATABASE BIAYA</t>
  </si>
  <si>
    <t>Item Biaya</t>
  </si>
  <si>
    <t>Kategori</t>
  </si>
  <si>
    <t>Satuan</t>
  </si>
  <si>
    <t>Default Cost</t>
  </si>
  <si>
    <t>Keterangan</t>
  </si>
  <si>
    <t>Aktif</t>
  </si>
  <si>
    <t>CATATAN SENTRAL</t>
  </si>
  <si>
    <t>Fix Cost / Event</t>
  </si>
  <si>
    <t xml:space="preserve">Transport Trainer Luar Kota PP </t>
  </si>
  <si>
    <t>Fixed</t>
  </si>
  <si>
    <t>Event</t>
  </si>
  <si>
    <t>Transport / Hari</t>
  </si>
  <si>
    <t>Ya</t>
  </si>
  <si>
    <t>Default, Edit (Product Costing)</t>
  </si>
  <si>
    <t>Iklan</t>
  </si>
  <si>
    <t>Promosi</t>
  </si>
  <si>
    <t>Fix Cost / Day &amp; Hours</t>
  </si>
  <si>
    <t>Jam</t>
  </si>
  <si>
    <t xml:space="preserve">Fix, saat mau edit di master </t>
  </si>
  <si>
    <t>Hotel</t>
  </si>
  <si>
    <t>Hotel trainer ada 2 jenis, bintang 2 dan bintang 3. Default, Edit</t>
  </si>
  <si>
    <t>Konsumsi Trainer, diluar konsumsi selama training</t>
  </si>
  <si>
    <t>Konsumsi trainer / Hari</t>
  </si>
  <si>
    <t>Makan siang dan snack, include konsumsi peserta training. Default, Edit</t>
  </si>
  <si>
    <t>Variable Cost / Peserta / Event</t>
  </si>
  <si>
    <t>Modul</t>
  </si>
  <si>
    <t>Variable</t>
  </si>
  <si>
    <t>Peserta/Event</t>
  </si>
  <si>
    <t>Sertifikat</t>
  </si>
  <si>
    <t>Seminar Kit</t>
  </si>
  <si>
    <t>Kit</t>
  </si>
  <si>
    <t>Input Free text</t>
  </si>
  <si>
    <t>Sertifikasi LSP</t>
  </si>
  <si>
    <t>Variable Cost / Peserta / Day</t>
  </si>
  <si>
    <t>Peserta/Hari</t>
  </si>
  <si>
    <t>Makan/snack</t>
  </si>
  <si>
    <t>Untuk peserta + trainer + asisten. Default, edit</t>
  </si>
  <si>
    <t>Coffee break</t>
  </si>
  <si>
    <t>Total Fixed Cost</t>
  </si>
  <si>
    <t>Total Variable Cost</t>
  </si>
  <si>
    <t>SKENARIO
(Simulasi, input)</t>
  </si>
  <si>
    <t>4.SIPOC  Product Costing</t>
  </si>
  <si>
    <t>Supplier</t>
  </si>
  <si>
    <t>Input</t>
  </si>
  <si>
    <t>Process</t>
  </si>
  <si>
    <t>Output</t>
  </si>
  <si>
    <t>Product Combined</t>
  </si>
  <si>
    <t>Master Cost</t>
  </si>
  <si>
    <t>Produk</t>
  </si>
  <si>
    <t>- Item Fixed Cost
- Item Variable Cost
- Cost dari Fixed Cost
- Cost Variable Cost</t>
  </si>
  <si>
    <t>Product Costing</t>
  </si>
  <si>
    <t xml:space="preserve">- Target peserta
- Target Profit
- HPP 
- BEP Peserta
- BEP Harga Jual
- Total Cost (Fixed &amp; Variable)
</t>
  </si>
  <si>
    <t>Simulasi profit</t>
  </si>
  <si>
    <t xml:space="preserve">Simulasi BEP </t>
  </si>
  <si>
    <t>Harga jual tetap, yang berubah hanya nilai profit. Akan ada report perbandingan antara As Is vs Aktual</t>
  </si>
  <si>
    <r>
      <t xml:space="preserve">Aturan product costing As Is </t>
    </r>
    <r>
      <rPr>
        <b/>
        <sz val="11"/>
        <color theme="1"/>
        <rFont val="Aptos Narrow"/>
        <family val="2"/>
        <scheme val="minor"/>
      </rPr>
      <t>vs</t>
    </r>
    <r>
      <rPr>
        <sz val="11"/>
        <color theme="1"/>
        <rFont val="Aptos Narrow"/>
        <family val="2"/>
        <scheme val="minor"/>
      </rPr>
      <t xml:space="preserve"> Aktual</t>
    </r>
  </si>
  <si>
    <t>Profit = (Pendapatan - (Fixed - Variable))</t>
  </si>
  <si>
    <t>HPP = (Total Fixed Cost + Total Variable Cost)
BEP Peserta = Total fixed cost ÷ (Harga jual per peserta − Biaya variable per peserta), lalu dibulatkan ke atas.
BEP Harga Jual = (HPP / Target Peserta)</t>
  </si>
  <si>
    <t>Customer</t>
  </si>
  <si>
    <t>Berlaku Untuk:
Public atau B2B</t>
  </si>
  <si>
    <t>Program</t>
  </si>
  <si>
    <t>Program = produk yang dipilih dari master product combined + product costing menjadi satu program siap jual.
Akan ada perbedaan program dengan pilihan jenis:
1) Program Public 
2) Program B2B 
Melalui satu menu tetapi akan berpisah menjadi 2 jalur setelah pilih jenis prigram
Program Public = Program dipromosikan dulu, peserta mendaftar di akhir, harga per peserta
Program B2B = Company sudah diketahui dari awal, harga paket all in</t>
  </si>
  <si>
    <t>Semua</t>
  </si>
  <si>
    <t>Tidak diisi saat program dibuat. Peserta didaftarkan setelah promosi lewat quotation.</t>
  </si>
  <si>
    <t>Company wajib dipilih dari Master Company saat program dibuat.</t>
  </si>
  <si>
    <t>Target peserta, target harga jual per peserta, target profit (opsional).</t>
  </si>
  <si>
    <t>Harga paket all-in (sudah termasuk biaya pendukung), jumlah peserta (informasi), target profit (opsional).</t>
  </si>
  <si>
    <t>Customer Public</t>
  </si>
  <si>
    <t>Customer B2B</t>
  </si>
  <si>
    <t>Target program Public</t>
  </si>
  <si>
    <t>Target program B2B</t>
  </si>
  <si>
    <t>Public</t>
  </si>
  <si>
    <t>B2B</t>
  </si>
  <si>
    <t>Status</t>
  </si>
  <si>
    <t>Public: Draft → Final → Selesai, atau Batal.
B2B: Draft → Deal → Selesai, atau Batal.</t>
  </si>
  <si>
    <t>Draft</t>
  </si>
  <si>
    <t>Final (siap jual)</t>
  </si>
  <si>
    <t>Deal</t>
  </si>
  <si>
    <t>Selesai</t>
  </si>
  <si>
    <t>Batal</t>
  </si>
  <si>
    <t>Program tidak jadi, misalnya target peserta tidak tercapai.</t>
  </si>
  <si>
    <t>Konfirmasi fix</t>
  </si>
  <si>
    <t>Aksi "Create quotation" memunculkan popup ringkasan (durasi, target, harga, HPP, profit, BEP) dan peringatan bila profit minus / BEP di atas target. Setelah dikonfirmasi status menjadi Final tanpa berpindah halaman.</t>
  </si>
  <si>
    <t>Konfirmasi deal</t>
  </si>
  <si>
    <t>Setelah Deal</t>
  </si>
  <si>
    <t>Langkah berikutnya program B2B setelah Deal (kemungkinan Sales Order).</t>
  </si>
  <si>
    <t>Dokumen penawaran B2B</t>
  </si>
  <si>
    <t>Saat ini tidak ada dokumen penawaran / proposal ke company sebelum Deal.</t>
  </si>
  <si>
    <t>Perubahan setelah Final</t>
  </si>
  <si>
    <t>Program Final tidak bisa diubah. Bila perlu perubahan, batalkan lalu buat program baru.</t>
  </si>
  <si>
    <t>Pengecekan sebelum Final</t>
  </si>
  <si>
    <t>Saat ini tidak ada approval.</t>
  </si>
  <si>
    <t>Program masih disusun, angka belum pasti, bisa diedit.</t>
  </si>
  <si>
    <t>Dikonfirmasi fix, angka menjadi target resmi, terkunci (hanya bisa dilihat), muncul di modul Quotation.</t>
  </si>
  <si>
    <t>Program disepakati dengan company, terkunci (hanya bisa dilihat). Tidak melalui modul Quotation.</t>
  </si>
  <si>
    <t>Program sudah berjalan / ditutup, realisasi menjadi angka akhir.</t>
  </si>
  <si>
    <t>Aksi "Deal" muncul langsung setelah program dibuat. popup ringkasan (company, durasi, harga paket, total biaya, pendapatan bersih) dan peringatan bila pendapatan bersih minus. Setelah dikonfirmasi status menjadi Deal.</t>
  </si>
  <si>
    <r>
      <t xml:space="preserve">B2B </t>
    </r>
    <r>
      <rPr>
        <b/>
        <sz val="11"/>
        <color theme="1"/>
        <rFont val="Aptos Narrow"/>
        <family val="2"/>
        <scheme val="minor"/>
      </rPr>
      <t>tidak memakai pembagian fixed / variable berbasis peserta</t>
    </r>
    <r>
      <rPr>
        <sz val="11"/>
        <color theme="1"/>
        <rFont val="Aptos Narrow"/>
        <family val="2"/>
        <scheme val="minor"/>
      </rPr>
      <t xml:space="preserve">. Semua biaya diambil dari item </t>
    </r>
    <r>
      <rPr>
        <b/>
        <sz val="11"/>
        <color theme="1"/>
        <rFont val="Aptos Narrow"/>
        <family val="2"/>
        <scheme val="minor"/>
      </rPr>
      <t>Fixed Cost</t>
    </r>
    <r>
      <rPr>
        <sz val="11"/>
        <color theme="1"/>
        <rFont val="Aptos Narrow"/>
        <family val="2"/>
        <scheme val="minor"/>
      </rPr>
      <t xml:space="preserve"> di Master Cost.</t>
    </r>
  </si>
  <si>
    <t>Cara input biaya</t>
  </si>
  <si>
    <r>
      <t xml:space="preserve">Item biaya </t>
    </r>
    <r>
      <rPr>
        <b/>
        <sz val="11"/>
        <color theme="1"/>
        <rFont val="Aptos Narrow"/>
        <family val="2"/>
        <scheme val="minor"/>
      </rPr>
      <t>tidak langsung tampil semua</t>
    </r>
    <r>
      <rPr>
        <sz val="11"/>
        <color theme="1"/>
        <rFont val="Aptos Narrow"/>
        <family val="2"/>
        <scheme val="minor"/>
      </rPr>
      <t xml:space="preserve">. User </t>
    </r>
    <r>
      <rPr>
        <b/>
        <sz val="11"/>
        <color theme="1"/>
        <rFont val="Aptos Narrow"/>
        <family val="2"/>
        <scheme val="minor"/>
      </rPr>
      <t>menambah item satu per satu</t>
    </r>
    <r>
      <rPr>
        <sz val="11"/>
        <color theme="1"/>
        <rFont val="Aptos Narrow"/>
        <family val="2"/>
        <scheme val="minor"/>
      </rPr>
      <t xml:space="preserve"> (pilih dari Master Cost, lalu “+ Tambah”) sesuai kondisi program, sama seperti cara input variable cost di Public. Ada opsi biaya manual di luar master.</t>
    </r>
  </si>
  <si>
    <t>Satuan biaya</t>
  </si>
  <si>
    <t>/ Event (sekali per program), / Day (× durasi), / Hours (dihitung sama dengan / Day karena acara flat), / Mandays.</t>
  </si>
  <si>
    <t>Komponen biaya</t>
  </si>
  <si>
    <r>
      <t>Biaya mandays</t>
    </r>
    <r>
      <rPr>
        <sz val="11"/>
        <color theme="1"/>
        <rFont val="Aptos Narrow"/>
        <family val="2"/>
        <scheme val="minor"/>
      </rPr>
      <t xml:space="preserve"> (honor trainer/konsultan, mandays rate charge) + </t>
    </r>
    <r>
      <rPr>
        <b/>
        <sz val="11"/>
        <color theme="1"/>
        <rFont val="Aptos Narrow"/>
        <family val="2"/>
        <scheme val="minor"/>
      </rPr>
      <t>biaya pendukung</t>
    </r>
    <r>
      <rPr>
        <sz val="11"/>
        <color theme="1"/>
        <rFont val="Aptos Narrow"/>
        <family val="2"/>
        <scheme val="minor"/>
      </rPr>
      <t xml:space="preserve"> (akomodasi, transport, konsumsi trainer, perlengkapan, dsb.).</t>
    </r>
  </si>
  <si>
    <t>Setiap item punya default cost dari Master Cost yang bisa disesuaikan per program.</t>
  </si>
  <si>
    <t>Tidak ada biaya per peserta, karena basisnya mandays.</t>
  </si>
  <si>
    <t>Berbeda dari Public, yang menampilkan semua fixed cost sekaligus.</t>
  </si>
  <si>
    <t>Formula rate mandays ditentukan nanti.</t>
  </si>
  <si>
    <t>Rate B2B berbeda dari Public. Perlu dipastikan apakah memakai item terpisah (misalnya “Honor Trainer Inhouse”) atau satu item dengan dua harga default.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</si>
</sst>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-#,##0;\-"/>
    <numFmt numFmtId="165" formatCode="&quot;Rp &quot;#,##0;[Red]&quot;-Rp &quot;#,##0;\-"/>
  </numFmts>
  <fonts count="1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4.9989318521683403E-2"/>
        <bgColor rgb="FF003366"/>
      </patternFill>
    </fill>
    <fill>
      <patternFill patternType="solid">
        <fgColor theme="3" tint="0.89999084444715716"/>
        <bgColor rgb="FF003366"/>
      </patternFill>
    </fill>
    <fill>
      <patternFill patternType="solid">
        <fgColor theme="9" tint="0.79998168889431442"/>
        <bgColor rgb="FF003366"/>
      </patternFill>
    </fill>
    <fill>
      <patternFill patternType="solid">
        <fgColor theme="8" tint="0.79998168889431442"/>
        <bgColor rgb="FF003366"/>
      </patternFill>
    </fill>
    <fill>
      <patternFill patternType="solid">
        <fgColor theme="5"/>
        <bgColor rgb="FF003366"/>
      </patternFill>
    </fill>
    <fill>
      <patternFill patternType="solid">
        <fgColor theme="3" tint="0.749992370372631"/>
        <bgColor rgb="FF003366"/>
      </patternFill>
    </fill>
    <fill>
      <patternFill patternType="solid">
        <fgColor theme="3" tint="0.89999084444715716"/>
        <bgColor rgb="FFF2F2F2"/>
      </patternFill>
    </fill>
    <fill>
      <patternFill patternType="solid">
        <fgColor theme="9" tint="0.79998168889431442"/>
        <bgColor rgb="FFF2F2F2"/>
      </patternFill>
    </fill>
    <fill>
      <patternFill patternType="solid">
        <fgColor theme="5"/>
        <bgColor rgb="FFF2F2F2"/>
      </patternFill>
    </fill>
    <fill>
      <patternFill patternType="solid">
        <fgColor theme="3" tint="0.749992370372631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004ED5"/>
      </patternFill>
    </fill>
    <fill>
      <patternFill patternType="solid">
        <fgColor rgb="FF17365D"/>
      </patternFill>
    </fill>
    <fill>
      <patternFill patternType="solid">
        <fgColor theme="5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75">
    <xf numFmtId="0" fontId="0" fillId="0" borderId="0" xfId="0"/>
    <xf numFmtId="0" fontId="2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4" borderId="1" xfId="0" applyFill="1" applyBorder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1" applyFont="1"/>
    <xf numFmtId="0" fontId="3" fillId="0" borderId="0" xfId="1"/>
    <xf numFmtId="165" fontId="6" fillId="0" borderId="1" xfId="1" applyNumberFormat="1" applyFont="1" applyBorder="1"/>
    <xf numFmtId="0" fontId="5" fillId="5" borderId="1" xfId="1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5" fillId="12" borderId="1" xfId="1" applyFont="1" applyFill="1" applyBorder="1" applyAlignment="1">
      <alignment horizontal="center" vertical="center" wrapText="1"/>
    </xf>
    <xf numFmtId="0" fontId="5" fillId="13" borderId="1" xfId="1" applyFont="1" applyFill="1" applyBorder="1" applyAlignment="1">
      <alignment horizontal="center" vertical="center" wrapText="1"/>
    </xf>
    <xf numFmtId="0" fontId="5" fillId="14" borderId="1" xfId="1" applyFont="1" applyFill="1" applyBorder="1" applyAlignment="1">
      <alignment horizontal="center" vertical="center" wrapText="1"/>
    </xf>
    <xf numFmtId="0" fontId="5" fillId="15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164" fontId="6" fillId="16" borderId="1" xfId="1" applyNumberFormat="1" applyFont="1" applyFill="1" applyBorder="1" applyAlignment="1">
      <alignment horizontal="center" vertical="center" wrapText="1"/>
    </xf>
    <xf numFmtId="165" fontId="6" fillId="16" borderId="1" xfId="1" applyNumberFormat="1" applyFont="1" applyFill="1" applyBorder="1"/>
    <xf numFmtId="165" fontId="5" fillId="0" borderId="1" xfId="1" applyNumberFormat="1" applyFont="1" applyBorder="1"/>
    <xf numFmtId="0" fontId="7" fillId="0" borderId="0" xfId="1" applyFont="1"/>
    <xf numFmtId="0" fontId="8" fillId="0" borderId="0" xfId="1" applyFont="1"/>
    <xf numFmtId="0" fontId="3" fillId="0" borderId="0" xfId="1" applyAlignment="1">
      <alignment horizontal="center"/>
    </xf>
    <xf numFmtId="0" fontId="10" fillId="18" borderId="0" xfId="0" applyFont="1" applyFill="1" applyAlignment="1">
      <alignment vertical="center" wrapText="1"/>
    </xf>
    <xf numFmtId="0" fontId="10" fillId="19" borderId="7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38" fontId="0" fillId="0" borderId="0" xfId="0" applyNumberFormat="1" applyAlignment="1">
      <alignment vertical="center" wrapText="1"/>
    </xf>
    <xf numFmtId="0" fontId="0" fillId="0" borderId="7" xfId="0" applyBorder="1"/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38" fontId="0" fillId="0" borderId="0" xfId="0" applyNumberFormat="1" applyAlignment="1">
      <alignment vertical="top" wrapText="1"/>
    </xf>
    <xf numFmtId="0" fontId="0" fillId="0" borderId="7" xfId="0" applyBorder="1" applyAlignment="1">
      <alignment horizontal="left" vertical="top" wrapText="1"/>
    </xf>
    <xf numFmtId="0" fontId="3" fillId="0" borderId="7" xfId="1" applyBorder="1" applyAlignment="1">
      <alignment wrapText="1"/>
    </xf>
    <xf numFmtId="38" fontId="2" fillId="0" borderId="0" xfId="0" applyNumberFormat="1" applyFont="1"/>
    <xf numFmtId="38" fontId="2" fillId="0" borderId="0" xfId="0" applyNumberFormat="1" applyFont="1" applyAlignment="1">
      <alignment vertical="center"/>
    </xf>
    <xf numFmtId="38" fontId="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 wrapText="1"/>
    </xf>
    <xf numFmtId="0" fontId="0" fillId="0" borderId="1" xfId="0" quotePrefix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quotePrefix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9" fillId="17" borderId="0" xfId="0" applyFont="1" applyFill="1" applyAlignment="1">
      <alignment vertical="center" wrapText="1"/>
    </xf>
    <xf numFmtId="0" fontId="0" fillId="0" borderId="0" xfId="0"/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5" fillId="11" borderId="1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6" borderId="2" xfId="1" applyFont="1" applyFill="1" applyBorder="1" applyAlignment="1">
      <alignment horizontal="center" vertical="center" wrapText="1"/>
    </xf>
    <xf numFmtId="0" fontId="5" fillId="6" borderId="4" xfId="1" applyFont="1" applyFill="1" applyBorder="1" applyAlignment="1">
      <alignment horizontal="center" vertical="center" wrapText="1"/>
    </xf>
    <xf numFmtId="0" fontId="5" fillId="6" borderId="3" xfId="1" applyFont="1" applyFill="1" applyBorder="1" applyAlignment="1">
      <alignment horizontal="center" vertical="center" wrapText="1"/>
    </xf>
    <xf numFmtId="0" fontId="5" fillId="7" borderId="1" xfId="1" applyFont="1" applyFill="1" applyBorder="1" applyAlignment="1">
      <alignment horizontal="center" vertical="center" wrapText="1"/>
    </xf>
    <xf numFmtId="0" fontId="5" fillId="8" borderId="1" xfId="1" applyFont="1" applyFill="1" applyBorder="1" applyAlignment="1">
      <alignment horizontal="center" vertical="center" wrapText="1"/>
    </xf>
    <xf numFmtId="0" fontId="5" fillId="9" borderId="5" xfId="1" applyFont="1" applyFill="1" applyBorder="1" applyAlignment="1">
      <alignment horizontal="center" vertical="center" wrapText="1"/>
    </xf>
    <xf numFmtId="0" fontId="5" fillId="9" borderId="6" xfId="1" applyFont="1" applyFill="1" applyBorder="1" applyAlignment="1">
      <alignment horizontal="center" vertical="center" wrapText="1"/>
    </xf>
    <xf numFmtId="0" fontId="0" fillId="0" borderId="0" xfId="0" applyFont="1" applyFill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wrapText="1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D339A010-6284-47CD-BCDA-5E77AF2641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30</xdr:row>
      <xdr:rowOff>0</xdr:rowOff>
    </xdr:from>
    <xdr:to>
      <xdr:col>9</xdr:col>
      <xdr:colOff>304800</xdr:colOff>
      <xdr:row>30</xdr:row>
      <xdr:rowOff>304482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A9F198A1-7666-4998-A8E9-104DF2C4CB24}"/>
            </a:ext>
          </a:extLst>
        </xdr:cNvPr>
        <xdr:cNvSpPr>
          <a:spLocks noChangeAspect="1" noChangeArrowheads="1"/>
        </xdr:cNvSpPr>
      </xdr:nvSpPr>
      <xdr:spPr bwMode="auto">
        <a:xfrm>
          <a:off x="12809220" y="3291840"/>
          <a:ext cx="304800" cy="304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223419</xdr:colOff>
      <xdr:row>0</xdr:row>
      <xdr:rowOff>170883</xdr:rowOff>
    </xdr:from>
    <xdr:to>
      <xdr:col>9</xdr:col>
      <xdr:colOff>113615</xdr:colOff>
      <xdr:row>10</xdr:row>
      <xdr:rowOff>68418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52CD09-1ACE-4EE8-8F53-F6A62446B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74169" y="170883"/>
          <a:ext cx="4255821" cy="55649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38F75-81E6-4A49-A105-CCE77AEF3ED5}">
  <dimension ref="A1:F51"/>
  <sheetViews>
    <sheetView tabSelected="1" zoomScale="96" workbookViewId="0">
      <selection activeCell="E3" sqref="E3"/>
    </sheetView>
  </sheetViews>
  <sheetFormatPr defaultRowHeight="14.4" x14ac:dyDescent="0.3"/>
  <cols>
    <col min="1" max="1" width="3.33203125" style="9" bestFit="1" customWidth="1"/>
    <col min="2" max="2" width="33.21875" customWidth="1"/>
    <col min="3" max="3" width="50.44140625" customWidth="1"/>
    <col min="4" max="4" width="31.109375" customWidth="1"/>
    <col min="5" max="5" width="61.88671875" style="30" customWidth="1"/>
    <col min="6" max="6" width="36.88671875" customWidth="1"/>
  </cols>
  <sheetData>
    <row r="1" spans="1:5" x14ac:dyDescent="0.3">
      <c r="A1" s="51" t="s">
        <v>0</v>
      </c>
      <c r="B1" s="52"/>
      <c r="C1" s="52"/>
      <c r="D1" s="52"/>
      <c r="E1" s="52"/>
    </row>
    <row r="2" spans="1:5" s="5" customFormat="1" ht="28.8" x14ac:dyDescent="0.3">
      <c r="A2" s="67" t="s">
        <v>1</v>
      </c>
      <c r="B2" s="67" t="s">
        <v>2</v>
      </c>
      <c r="C2" s="67" t="s">
        <v>3</v>
      </c>
      <c r="D2" s="68" t="s">
        <v>113</v>
      </c>
      <c r="E2" s="68" t="s">
        <v>4</v>
      </c>
    </row>
    <row r="3" spans="1:5" s="66" customFormat="1" ht="216" x14ac:dyDescent="0.3">
      <c r="A3" s="71">
        <v>1</v>
      </c>
      <c r="B3" s="70" t="s">
        <v>114</v>
      </c>
      <c r="C3" s="69" t="s">
        <v>115</v>
      </c>
      <c r="D3" s="71" t="s">
        <v>116</v>
      </c>
      <c r="E3" s="73"/>
    </row>
    <row r="4" spans="1:5" s="66" customFormat="1" ht="28.8" x14ac:dyDescent="0.3">
      <c r="A4" s="71">
        <v>2</v>
      </c>
      <c r="B4" s="70" t="s">
        <v>121</v>
      </c>
      <c r="C4" s="69" t="s">
        <v>117</v>
      </c>
      <c r="D4" s="71" t="s">
        <v>125</v>
      </c>
      <c r="E4" s="73"/>
    </row>
    <row r="5" spans="1:5" s="66" customFormat="1" ht="28.8" x14ac:dyDescent="0.3">
      <c r="A5" s="71">
        <v>3</v>
      </c>
      <c r="B5" s="70" t="s">
        <v>122</v>
      </c>
      <c r="C5" s="69" t="s">
        <v>118</v>
      </c>
      <c r="D5" s="71" t="s">
        <v>126</v>
      </c>
      <c r="E5" s="73"/>
    </row>
    <row r="6" spans="1:5" s="66" customFormat="1" ht="28.8" x14ac:dyDescent="0.3">
      <c r="A6" s="71">
        <v>4</v>
      </c>
      <c r="B6" s="70" t="s">
        <v>123</v>
      </c>
      <c r="C6" s="69" t="s">
        <v>119</v>
      </c>
      <c r="D6" s="71" t="s">
        <v>125</v>
      </c>
      <c r="E6" s="73"/>
    </row>
    <row r="7" spans="1:5" s="66" customFormat="1" ht="28.8" x14ac:dyDescent="0.3">
      <c r="A7" s="71">
        <v>5</v>
      </c>
      <c r="B7" s="70" t="s">
        <v>124</v>
      </c>
      <c r="C7" s="69" t="s">
        <v>120</v>
      </c>
      <c r="D7" s="71" t="s">
        <v>126</v>
      </c>
      <c r="E7" s="73"/>
    </row>
    <row r="8" spans="1:5" s="66" customFormat="1" ht="28.8" x14ac:dyDescent="0.3">
      <c r="A8" s="71">
        <v>6</v>
      </c>
      <c r="B8" s="70" t="s">
        <v>127</v>
      </c>
      <c r="C8" s="69" t="s">
        <v>128</v>
      </c>
      <c r="D8" s="71" t="s">
        <v>116</v>
      </c>
      <c r="E8" s="73"/>
    </row>
    <row r="9" spans="1:5" s="66" customFormat="1" x14ac:dyDescent="0.3">
      <c r="A9" s="71">
        <v>7</v>
      </c>
      <c r="B9" s="70" t="s">
        <v>129</v>
      </c>
      <c r="C9" s="69" t="s">
        <v>146</v>
      </c>
      <c r="D9" s="71" t="s">
        <v>116</v>
      </c>
      <c r="E9" s="73"/>
    </row>
    <row r="10" spans="1:5" s="66" customFormat="1" ht="28.8" x14ac:dyDescent="0.3">
      <c r="A10" s="71">
        <v>8</v>
      </c>
      <c r="B10" s="70" t="s">
        <v>130</v>
      </c>
      <c r="C10" s="69" t="s">
        <v>147</v>
      </c>
      <c r="D10" s="71" t="s">
        <v>125</v>
      </c>
      <c r="E10" s="73"/>
    </row>
    <row r="11" spans="1:5" s="66" customFormat="1" ht="28.8" x14ac:dyDescent="0.3">
      <c r="A11" s="71">
        <v>9</v>
      </c>
      <c r="B11" s="70" t="s">
        <v>131</v>
      </c>
      <c r="C11" s="69" t="s">
        <v>148</v>
      </c>
      <c r="D11" s="71" t="s">
        <v>126</v>
      </c>
      <c r="E11" s="73"/>
    </row>
    <row r="12" spans="1:5" s="66" customFormat="1" ht="28.8" x14ac:dyDescent="0.3">
      <c r="A12" s="71">
        <v>10</v>
      </c>
      <c r="B12" s="70" t="s">
        <v>132</v>
      </c>
      <c r="C12" s="69" t="s">
        <v>149</v>
      </c>
      <c r="D12" s="71" t="s">
        <v>116</v>
      </c>
      <c r="E12" s="73"/>
    </row>
    <row r="13" spans="1:5" s="66" customFormat="1" x14ac:dyDescent="0.3">
      <c r="A13" s="71">
        <v>11</v>
      </c>
      <c r="B13" s="70" t="s">
        <v>133</v>
      </c>
      <c r="C13" s="69" t="s">
        <v>134</v>
      </c>
      <c r="D13" s="71" t="s">
        <v>116</v>
      </c>
      <c r="E13" s="73"/>
    </row>
    <row r="14" spans="1:5" s="66" customFormat="1" ht="57.6" x14ac:dyDescent="0.3">
      <c r="A14" s="71">
        <v>12</v>
      </c>
      <c r="B14" s="70" t="s">
        <v>135</v>
      </c>
      <c r="C14" s="69" t="s">
        <v>136</v>
      </c>
      <c r="D14" s="71" t="s">
        <v>125</v>
      </c>
      <c r="E14" s="73"/>
    </row>
    <row r="15" spans="1:5" s="66" customFormat="1" ht="57.6" x14ac:dyDescent="0.3">
      <c r="A15" s="71">
        <v>13</v>
      </c>
      <c r="B15" s="70" t="s">
        <v>137</v>
      </c>
      <c r="C15" s="69" t="s">
        <v>150</v>
      </c>
      <c r="D15" s="71" t="s">
        <v>126</v>
      </c>
      <c r="E15" s="73"/>
    </row>
    <row r="16" spans="1:5" s="66" customFormat="1" ht="28.8" x14ac:dyDescent="0.3">
      <c r="A16" s="71">
        <v>14</v>
      </c>
      <c r="B16" s="70" t="s">
        <v>138</v>
      </c>
      <c r="C16" s="69" t="s">
        <v>139</v>
      </c>
      <c r="D16" s="71" t="s">
        <v>126</v>
      </c>
      <c r="E16" s="73"/>
    </row>
    <row r="17" spans="1:5" s="66" customFormat="1" ht="28.8" x14ac:dyDescent="0.3">
      <c r="A17" s="71">
        <v>15</v>
      </c>
      <c r="B17" s="70" t="s">
        <v>140</v>
      </c>
      <c r="C17" s="69" t="s">
        <v>141</v>
      </c>
      <c r="D17" s="71" t="s">
        <v>126</v>
      </c>
      <c r="E17" s="73"/>
    </row>
    <row r="18" spans="1:5" s="66" customFormat="1" ht="28.8" x14ac:dyDescent="0.3">
      <c r="A18" s="71">
        <v>16</v>
      </c>
      <c r="B18" s="70" t="s">
        <v>142</v>
      </c>
      <c r="C18" s="69" t="s">
        <v>143</v>
      </c>
      <c r="D18" s="71" t="s">
        <v>116</v>
      </c>
      <c r="E18" s="73"/>
    </row>
    <row r="19" spans="1:5" s="66" customFormat="1" x14ac:dyDescent="0.3">
      <c r="A19" s="71">
        <v>17</v>
      </c>
      <c r="B19" s="70" t="s">
        <v>144</v>
      </c>
      <c r="C19" s="69" t="s">
        <v>145</v>
      </c>
      <c r="D19" s="71" t="s">
        <v>116</v>
      </c>
      <c r="E19" s="73"/>
    </row>
    <row r="20" spans="1:5" s="66" customFormat="1" ht="28.8" x14ac:dyDescent="0.3">
      <c r="A20" s="71">
        <v>18</v>
      </c>
      <c r="B20" s="3" t="s">
        <v>5</v>
      </c>
      <c r="C20" s="3" t="s">
        <v>6</v>
      </c>
      <c r="D20" s="71" t="s">
        <v>125</v>
      </c>
      <c r="E20" s="73"/>
    </row>
    <row r="21" spans="1:5" s="66" customFormat="1" x14ac:dyDescent="0.3">
      <c r="A21" s="71">
        <v>19</v>
      </c>
      <c r="B21" s="4" t="s">
        <v>7</v>
      </c>
      <c r="C21" s="6" t="s">
        <v>8</v>
      </c>
      <c r="D21" s="71" t="s">
        <v>125</v>
      </c>
      <c r="E21" s="73"/>
    </row>
    <row r="22" spans="1:5" s="66" customFormat="1" ht="28.8" x14ac:dyDescent="0.3">
      <c r="A22" s="71">
        <v>20</v>
      </c>
      <c r="B22" s="4" t="s">
        <v>9</v>
      </c>
      <c r="C22" s="6" t="s">
        <v>10</v>
      </c>
      <c r="D22" s="71" t="s">
        <v>125</v>
      </c>
      <c r="E22" s="73"/>
    </row>
    <row r="23" spans="1:5" s="66" customFormat="1" ht="28.8" x14ac:dyDescent="0.3">
      <c r="A23" s="71">
        <v>21</v>
      </c>
      <c r="B23" s="4" t="s">
        <v>11</v>
      </c>
      <c r="C23" s="6" t="s">
        <v>12</v>
      </c>
      <c r="D23" s="71" t="s">
        <v>125</v>
      </c>
      <c r="E23" s="73"/>
    </row>
    <row r="24" spans="1:5" s="66" customFormat="1" ht="129.6" x14ac:dyDescent="0.3">
      <c r="A24" s="71">
        <v>22</v>
      </c>
      <c r="B24" s="4" t="s">
        <v>13</v>
      </c>
      <c r="C24" s="6" t="s">
        <v>14</v>
      </c>
      <c r="D24" s="71" t="s">
        <v>125</v>
      </c>
      <c r="E24" s="73"/>
    </row>
    <row r="25" spans="1:5" s="66" customFormat="1" ht="57.6" x14ac:dyDescent="0.3">
      <c r="A25" s="71">
        <v>23</v>
      </c>
      <c r="B25" s="4" t="s">
        <v>15</v>
      </c>
      <c r="C25" s="6" t="s">
        <v>16</v>
      </c>
      <c r="D25" s="71" t="s">
        <v>125</v>
      </c>
      <c r="E25" s="73"/>
    </row>
    <row r="26" spans="1:5" s="5" customFormat="1" ht="28.8" x14ac:dyDescent="0.3">
      <c r="A26" s="71">
        <v>24</v>
      </c>
      <c r="B26" s="4" t="s">
        <v>109</v>
      </c>
      <c r="C26" s="6" t="s">
        <v>108</v>
      </c>
      <c r="D26" s="71" t="s">
        <v>125</v>
      </c>
      <c r="E26" s="73"/>
    </row>
    <row r="27" spans="1:5" ht="43.2" x14ac:dyDescent="0.3">
      <c r="A27" s="2">
        <v>25</v>
      </c>
      <c r="B27" s="4" t="s">
        <v>5</v>
      </c>
      <c r="C27" s="6" t="s">
        <v>151</v>
      </c>
      <c r="D27" s="71" t="s">
        <v>126</v>
      </c>
      <c r="E27" s="73" t="s">
        <v>159</v>
      </c>
    </row>
    <row r="28" spans="1:5" ht="57.6" x14ac:dyDescent="0.3">
      <c r="A28" s="71">
        <v>26</v>
      </c>
      <c r="B28" s="4" t="s">
        <v>152</v>
      </c>
      <c r="C28" s="6" t="s">
        <v>153</v>
      </c>
      <c r="D28" s="71" t="s">
        <v>126</v>
      </c>
      <c r="E28" s="73" t="s">
        <v>160</v>
      </c>
    </row>
    <row r="29" spans="1:5" ht="28.8" x14ac:dyDescent="0.3">
      <c r="A29" s="71">
        <v>27</v>
      </c>
      <c r="B29" s="4" t="s">
        <v>154</v>
      </c>
      <c r="C29" s="6" t="s">
        <v>155</v>
      </c>
      <c r="D29" s="71" t="s">
        <v>126</v>
      </c>
      <c r="E29" s="73" t="s">
        <v>161</v>
      </c>
    </row>
    <row r="30" spans="1:5" ht="43.2" x14ac:dyDescent="0.3">
      <c r="A30" s="2">
        <v>28</v>
      </c>
      <c r="B30" s="4" t="s">
        <v>156</v>
      </c>
      <c r="C30" s="6" t="s">
        <v>157</v>
      </c>
      <c r="D30" s="71" t="s">
        <v>126</v>
      </c>
      <c r="E30" s="73"/>
    </row>
    <row r="31" spans="1:5" ht="43.2" x14ac:dyDescent="0.3">
      <c r="A31" s="71">
        <v>29</v>
      </c>
      <c r="B31" s="4" t="s">
        <v>11</v>
      </c>
      <c r="C31" s="6" t="s">
        <v>158</v>
      </c>
      <c r="D31" s="71" t="s">
        <v>126</v>
      </c>
      <c r="E31" s="73" t="s">
        <v>162</v>
      </c>
    </row>
    <row r="34" spans="1:6" x14ac:dyDescent="0.3">
      <c r="A34" s="50" t="s">
        <v>17</v>
      </c>
      <c r="B34" s="50"/>
      <c r="C34" s="50"/>
      <c r="D34" s="50"/>
    </row>
    <row r="35" spans="1:6" x14ac:dyDescent="0.3">
      <c r="A35" s="1" t="s">
        <v>1</v>
      </c>
      <c r="B35" s="1" t="s">
        <v>2</v>
      </c>
      <c r="C35" s="1" t="s">
        <v>18</v>
      </c>
      <c r="D35" s="1" t="s">
        <v>4</v>
      </c>
    </row>
    <row r="36" spans="1:6" x14ac:dyDescent="0.3">
      <c r="A36" s="8"/>
      <c r="B36" s="7"/>
      <c r="C36" s="7"/>
      <c r="D36" s="7"/>
    </row>
    <row r="37" spans="1:6" x14ac:dyDescent="0.3">
      <c r="A37" s="8"/>
      <c r="B37" s="7"/>
      <c r="C37" s="7"/>
      <c r="D37" s="7"/>
    </row>
    <row r="38" spans="1:6" x14ac:dyDescent="0.3">
      <c r="A38" s="8"/>
      <c r="B38" s="7"/>
      <c r="C38" s="7"/>
      <c r="D38" s="7"/>
    </row>
    <row r="41" spans="1:6" x14ac:dyDescent="0.3">
      <c r="A41" s="50" t="s">
        <v>19</v>
      </c>
      <c r="B41" s="50"/>
      <c r="C41" s="50"/>
      <c r="D41" s="50"/>
    </row>
    <row r="42" spans="1:6" x14ac:dyDescent="0.3">
      <c r="A42" s="1" t="s">
        <v>1</v>
      </c>
      <c r="B42" s="1" t="s">
        <v>2</v>
      </c>
      <c r="C42" s="1" t="s">
        <v>18</v>
      </c>
      <c r="D42" s="1" t="s">
        <v>4</v>
      </c>
    </row>
    <row r="43" spans="1:6" x14ac:dyDescent="0.3">
      <c r="A43" s="2">
        <v>1</v>
      </c>
      <c r="B43" s="4" t="s">
        <v>106</v>
      </c>
      <c r="C43" s="4" t="s">
        <v>110</v>
      </c>
      <c r="D43" s="8" t="s">
        <v>125</v>
      </c>
    </row>
    <row r="44" spans="1:6" ht="57.6" x14ac:dyDescent="0.3">
      <c r="A44" s="2">
        <v>2</v>
      </c>
      <c r="B44" s="4" t="s">
        <v>107</v>
      </c>
      <c r="C44" s="3" t="s">
        <v>111</v>
      </c>
      <c r="D44" s="8" t="s">
        <v>125</v>
      </c>
    </row>
    <row r="45" spans="1:6" x14ac:dyDescent="0.3">
      <c r="A45" s="8"/>
      <c r="B45" s="7"/>
      <c r="C45" s="7"/>
      <c r="D45" s="7"/>
    </row>
    <row r="48" spans="1:6" x14ac:dyDescent="0.3">
      <c r="A48" s="51" t="s">
        <v>95</v>
      </c>
      <c r="B48" s="52"/>
      <c r="C48" s="52"/>
      <c r="D48" s="52"/>
      <c r="E48" s="52"/>
      <c r="F48" s="52"/>
    </row>
    <row r="49" spans="1:6" x14ac:dyDescent="0.3">
      <c r="A49" s="42" t="s">
        <v>1</v>
      </c>
      <c r="B49" s="42" t="s">
        <v>96</v>
      </c>
      <c r="C49" s="42" t="s">
        <v>97</v>
      </c>
      <c r="D49" s="42" t="s">
        <v>98</v>
      </c>
      <c r="E49" s="74" t="s">
        <v>99</v>
      </c>
      <c r="F49" s="42" t="s">
        <v>112</v>
      </c>
    </row>
    <row r="50" spans="1:6" s="5" customFormat="1" x14ac:dyDescent="0.3">
      <c r="A50" s="43">
        <v>1</v>
      </c>
      <c r="B50" s="44" t="s">
        <v>100</v>
      </c>
      <c r="C50" s="44" t="s">
        <v>102</v>
      </c>
      <c r="D50" s="47" t="s">
        <v>104</v>
      </c>
      <c r="E50" s="49" t="s">
        <v>105</v>
      </c>
      <c r="F50" s="46"/>
    </row>
    <row r="51" spans="1:6" s="5" customFormat="1" ht="57.6" x14ac:dyDescent="0.3">
      <c r="A51" s="43">
        <v>2</v>
      </c>
      <c r="B51" s="44" t="s">
        <v>101</v>
      </c>
      <c r="C51" s="45" t="s">
        <v>103</v>
      </c>
      <c r="D51" s="48"/>
      <c r="E51" s="72"/>
      <c r="F51" s="44"/>
    </row>
  </sheetData>
  <mergeCells count="6">
    <mergeCell ref="A1:E1"/>
    <mergeCell ref="D50:D51"/>
    <mergeCell ref="E50:E51"/>
    <mergeCell ref="A34:D34"/>
    <mergeCell ref="A41:D41"/>
    <mergeCell ref="A48:F4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A002A-C1B4-4147-8803-FE78C40D7D94}">
  <sheetPr>
    <pageSetUpPr fitToPage="1"/>
  </sheetPr>
  <dimension ref="A1:G40"/>
  <sheetViews>
    <sheetView showGridLines="0" zoomScale="85" zoomScaleNormal="85" workbookViewId="0">
      <pane ySplit="3" topLeftCell="A4" activePane="bottomLeft" state="frozen"/>
      <selection pane="bottomLeft" activeCell="D28" sqref="D28"/>
    </sheetView>
  </sheetViews>
  <sheetFormatPr defaultRowHeight="14.4" x14ac:dyDescent="0.3"/>
  <cols>
    <col min="1" max="1" width="48.109375" customWidth="1"/>
    <col min="2" max="2" width="16" customWidth="1"/>
    <col min="3" max="3" width="17.44140625" customWidth="1"/>
    <col min="4" max="4" width="18" customWidth="1"/>
    <col min="5" max="5" width="30" customWidth="1"/>
    <col min="6" max="6" width="10" customWidth="1"/>
    <col min="7" max="7" width="35.21875" customWidth="1"/>
  </cols>
  <sheetData>
    <row r="1" spans="1:7" ht="28.05" customHeight="1" x14ac:dyDescent="0.3">
      <c r="A1" s="53" t="s">
        <v>53</v>
      </c>
      <c r="B1" s="54"/>
      <c r="C1" s="54"/>
      <c r="D1" s="54"/>
      <c r="E1" s="54"/>
      <c r="F1" s="54"/>
    </row>
    <row r="2" spans="1:7" ht="15" thickBot="1" x14ac:dyDescent="0.35"/>
    <row r="3" spans="1:7" ht="15" thickBot="1" x14ac:dyDescent="0.35">
      <c r="A3" s="26" t="s">
        <v>54</v>
      </c>
      <c r="B3" s="26" t="s">
        <v>55</v>
      </c>
      <c r="C3" s="26" t="s">
        <v>56</v>
      </c>
      <c r="D3" s="26" t="s">
        <v>57</v>
      </c>
      <c r="E3" s="26" t="s">
        <v>58</v>
      </c>
      <c r="F3" s="26" t="s">
        <v>59</v>
      </c>
      <c r="G3" s="27" t="s">
        <v>60</v>
      </c>
    </row>
    <row r="4" spans="1:7" ht="15" thickBot="1" x14ac:dyDescent="0.35">
      <c r="A4" s="28" t="s">
        <v>61</v>
      </c>
      <c r="B4" s="29"/>
      <c r="C4" s="29"/>
      <c r="D4" s="29"/>
      <c r="E4" s="29"/>
      <c r="F4" s="29"/>
    </row>
    <row r="5" spans="1:7" ht="15" thickBot="1" x14ac:dyDescent="0.35">
      <c r="A5" s="30" t="s">
        <v>62</v>
      </c>
      <c r="B5" s="30" t="s">
        <v>63</v>
      </c>
      <c r="C5" s="30" t="s">
        <v>64</v>
      </c>
      <c r="D5" s="31">
        <v>250000</v>
      </c>
      <c r="E5" s="30" t="s">
        <v>65</v>
      </c>
      <c r="F5" s="30" t="s">
        <v>66</v>
      </c>
      <c r="G5" s="32" t="s">
        <v>67</v>
      </c>
    </row>
    <row r="6" spans="1:7" ht="15" thickBot="1" x14ac:dyDescent="0.35">
      <c r="A6" s="30" t="s">
        <v>62</v>
      </c>
      <c r="B6" s="30" t="s">
        <v>63</v>
      </c>
      <c r="C6" s="30" t="s">
        <v>64</v>
      </c>
      <c r="D6" s="31"/>
      <c r="E6" s="30" t="s">
        <v>65</v>
      </c>
      <c r="F6" s="30" t="s">
        <v>66</v>
      </c>
      <c r="G6" s="32" t="s">
        <v>67</v>
      </c>
    </row>
    <row r="7" spans="1:7" ht="15" thickBot="1" x14ac:dyDescent="0.35">
      <c r="A7" s="30" t="s">
        <v>20</v>
      </c>
      <c r="B7" s="30" t="s">
        <v>63</v>
      </c>
      <c r="C7" s="30" t="s">
        <v>64</v>
      </c>
      <c r="D7" s="31">
        <v>0</v>
      </c>
      <c r="E7" s="30" t="s">
        <v>68</v>
      </c>
      <c r="F7" s="30" t="s">
        <v>66</v>
      </c>
      <c r="G7" s="32" t="s">
        <v>67</v>
      </c>
    </row>
    <row r="8" spans="1:7" ht="15" thickBot="1" x14ac:dyDescent="0.35">
      <c r="A8" s="30" t="s">
        <v>21</v>
      </c>
      <c r="B8" s="30" t="s">
        <v>63</v>
      </c>
      <c r="C8" s="30" t="s">
        <v>64</v>
      </c>
      <c r="D8" s="31">
        <v>0</v>
      </c>
      <c r="E8" s="30" t="s">
        <v>21</v>
      </c>
      <c r="F8" s="30" t="s">
        <v>66</v>
      </c>
      <c r="G8" s="32" t="s">
        <v>67</v>
      </c>
    </row>
    <row r="9" spans="1:7" ht="15" thickBot="1" x14ac:dyDescent="0.35">
      <c r="A9" s="30" t="s">
        <v>23</v>
      </c>
      <c r="B9" s="30" t="s">
        <v>63</v>
      </c>
      <c r="C9" s="30" t="s">
        <v>64</v>
      </c>
      <c r="D9" s="31">
        <v>100000</v>
      </c>
      <c r="E9" s="30" t="s">
        <v>69</v>
      </c>
      <c r="F9" s="30" t="s">
        <v>66</v>
      </c>
      <c r="G9" s="32" t="s">
        <v>67</v>
      </c>
    </row>
    <row r="10" spans="1:7" ht="15" thickBot="1" x14ac:dyDescent="0.35">
      <c r="A10" s="30" t="s">
        <v>25</v>
      </c>
      <c r="B10" s="30" t="s">
        <v>63</v>
      </c>
      <c r="C10" s="30" t="s">
        <v>64</v>
      </c>
      <c r="D10" s="31">
        <v>0</v>
      </c>
      <c r="E10" s="30" t="s">
        <v>25</v>
      </c>
      <c r="F10" s="30" t="s">
        <v>66</v>
      </c>
      <c r="G10" s="32" t="s">
        <v>67</v>
      </c>
    </row>
    <row r="11" spans="1:7" x14ac:dyDescent="0.3">
      <c r="A11" s="33" t="s">
        <v>26</v>
      </c>
      <c r="B11" s="30"/>
      <c r="C11" s="30"/>
      <c r="D11" s="41">
        <f>SUM(D5:D10)</f>
        <v>350000</v>
      </c>
      <c r="E11" s="30"/>
      <c r="F11" s="30"/>
    </row>
    <row r="12" spans="1:7" x14ac:dyDescent="0.3">
      <c r="A12" s="30"/>
      <c r="B12" s="30"/>
      <c r="C12" s="30"/>
      <c r="D12" s="31"/>
      <c r="E12" s="30"/>
      <c r="F12" s="30"/>
    </row>
    <row r="13" spans="1:7" ht="15" thickBot="1" x14ac:dyDescent="0.35">
      <c r="A13" s="33" t="s">
        <v>70</v>
      </c>
      <c r="B13" s="30"/>
      <c r="C13" s="30"/>
      <c r="D13" s="31"/>
      <c r="E13" s="30"/>
      <c r="F13" s="30"/>
    </row>
    <row r="14" spans="1:7" ht="15" thickBot="1" x14ac:dyDescent="0.35">
      <c r="A14" s="30" t="s">
        <v>28</v>
      </c>
      <c r="B14" s="30" t="s">
        <v>63</v>
      </c>
      <c r="C14" s="30" t="s">
        <v>71</v>
      </c>
      <c r="D14" s="31">
        <v>1600000</v>
      </c>
      <c r="E14" s="30"/>
      <c r="F14" s="30" t="s">
        <v>66</v>
      </c>
      <c r="G14" s="32" t="s">
        <v>72</v>
      </c>
    </row>
    <row r="15" spans="1:7" ht="15" thickBot="1" x14ac:dyDescent="0.35">
      <c r="A15" s="30" t="s">
        <v>30</v>
      </c>
      <c r="B15" s="30" t="s">
        <v>63</v>
      </c>
      <c r="C15" s="30" t="s">
        <v>71</v>
      </c>
      <c r="D15" s="31">
        <v>2125000</v>
      </c>
      <c r="E15" s="30"/>
      <c r="F15" s="30" t="s">
        <v>66</v>
      </c>
      <c r="G15" s="32" t="s">
        <v>67</v>
      </c>
    </row>
    <row r="16" spans="1:7" x14ac:dyDescent="0.3">
      <c r="A16" s="30" t="s">
        <v>32</v>
      </c>
      <c r="B16" s="30" t="s">
        <v>63</v>
      </c>
      <c r="C16" s="30" t="s">
        <v>40</v>
      </c>
      <c r="D16" s="31">
        <v>375000</v>
      </c>
      <c r="E16" s="30" t="s">
        <v>73</v>
      </c>
      <c r="F16" s="30" t="s">
        <v>66</v>
      </c>
      <c r="G16" s="55" t="s">
        <v>74</v>
      </c>
    </row>
    <row r="17" spans="1:7" ht="15" thickBot="1" x14ac:dyDescent="0.35">
      <c r="A17" s="30" t="s">
        <v>33</v>
      </c>
      <c r="B17" s="30" t="s">
        <v>63</v>
      </c>
      <c r="C17" s="30" t="s">
        <v>40</v>
      </c>
      <c r="D17" s="31">
        <v>0</v>
      </c>
      <c r="E17" s="30" t="s">
        <v>73</v>
      </c>
      <c r="F17" s="30" t="s">
        <v>66</v>
      </c>
      <c r="G17" s="56"/>
    </row>
    <row r="18" spans="1:7" ht="29.4" thickBot="1" x14ac:dyDescent="0.35">
      <c r="A18" s="34" t="s">
        <v>75</v>
      </c>
      <c r="B18" s="35" t="s">
        <v>63</v>
      </c>
      <c r="C18" s="35" t="s">
        <v>40</v>
      </c>
      <c r="D18" s="36">
        <v>140000</v>
      </c>
      <c r="E18" s="35" t="s">
        <v>76</v>
      </c>
      <c r="F18" s="30" t="s">
        <v>66</v>
      </c>
      <c r="G18" s="37" t="s">
        <v>77</v>
      </c>
    </row>
    <row r="19" spans="1:7" x14ac:dyDescent="0.3">
      <c r="A19" s="33" t="s">
        <v>26</v>
      </c>
      <c r="B19" s="30"/>
      <c r="C19" s="30"/>
      <c r="D19" s="41">
        <f>SUM(D13:D18)</f>
        <v>4240000</v>
      </c>
      <c r="E19" s="35"/>
      <c r="F19" s="30"/>
      <c r="G19" s="34"/>
    </row>
    <row r="20" spans="1:7" x14ac:dyDescent="0.3">
      <c r="A20" s="34"/>
      <c r="B20" s="35"/>
      <c r="C20" s="35"/>
      <c r="D20" s="36"/>
      <c r="E20" s="35"/>
      <c r="F20" s="30"/>
      <c r="G20" s="34"/>
    </row>
    <row r="21" spans="1:7" x14ac:dyDescent="0.3">
      <c r="A21" s="33" t="s">
        <v>78</v>
      </c>
    </row>
    <row r="22" spans="1:7" ht="15" thickBot="1" x14ac:dyDescent="0.35">
      <c r="A22" s="30" t="s">
        <v>79</v>
      </c>
      <c r="B22" s="30" t="s">
        <v>80</v>
      </c>
      <c r="C22" s="30" t="s">
        <v>81</v>
      </c>
      <c r="D22" s="31">
        <v>50000</v>
      </c>
      <c r="E22" s="30" t="s">
        <v>79</v>
      </c>
      <c r="F22" s="30" t="s">
        <v>66</v>
      </c>
    </row>
    <row r="23" spans="1:7" ht="15" thickBot="1" x14ac:dyDescent="0.35">
      <c r="A23" s="30" t="s">
        <v>82</v>
      </c>
      <c r="B23" s="30" t="s">
        <v>80</v>
      </c>
      <c r="C23" s="30" t="s">
        <v>81</v>
      </c>
      <c r="D23" s="31">
        <v>5000</v>
      </c>
      <c r="E23" s="30" t="s">
        <v>82</v>
      </c>
      <c r="F23" s="30" t="s">
        <v>66</v>
      </c>
      <c r="G23" s="32" t="s">
        <v>72</v>
      </c>
    </row>
    <row r="24" spans="1:7" ht="15" thickBot="1" x14ac:dyDescent="0.35">
      <c r="A24" s="30" t="s">
        <v>83</v>
      </c>
      <c r="B24" s="30" t="s">
        <v>80</v>
      </c>
      <c r="C24" s="30" t="s">
        <v>81</v>
      </c>
      <c r="D24" s="31">
        <v>35000</v>
      </c>
      <c r="E24" s="30" t="s">
        <v>84</v>
      </c>
      <c r="F24" s="30" t="s">
        <v>66</v>
      </c>
      <c r="G24" s="32" t="s">
        <v>85</v>
      </c>
    </row>
    <row r="25" spans="1:7" ht="15" thickBot="1" x14ac:dyDescent="0.35">
      <c r="A25" s="30" t="s">
        <v>22</v>
      </c>
      <c r="B25" s="30" t="s">
        <v>80</v>
      </c>
      <c r="C25" s="30" t="s">
        <v>81</v>
      </c>
      <c r="D25" s="31">
        <v>5000</v>
      </c>
      <c r="E25" s="30" t="s">
        <v>22</v>
      </c>
      <c r="F25" s="30" t="s">
        <v>66</v>
      </c>
      <c r="G25" s="32" t="s">
        <v>72</v>
      </c>
    </row>
    <row r="26" spans="1:7" ht="15" thickBot="1" x14ac:dyDescent="0.35">
      <c r="A26" s="30" t="s">
        <v>24</v>
      </c>
      <c r="B26" s="30" t="s">
        <v>80</v>
      </c>
      <c r="C26" s="30" t="s">
        <v>81</v>
      </c>
      <c r="D26" s="31">
        <v>0</v>
      </c>
      <c r="E26" s="30" t="s">
        <v>24</v>
      </c>
      <c r="F26" s="30" t="s">
        <v>66</v>
      </c>
      <c r="G26" s="32" t="s">
        <v>72</v>
      </c>
    </row>
    <row r="27" spans="1:7" ht="15" thickBot="1" x14ac:dyDescent="0.35">
      <c r="A27" s="30" t="s">
        <v>86</v>
      </c>
      <c r="B27" s="30" t="s">
        <v>80</v>
      </c>
      <c r="C27" s="30" t="s">
        <v>81</v>
      </c>
      <c r="D27" s="31">
        <v>0</v>
      </c>
      <c r="E27" s="30" t="s">
        <v>86</v>
      </c>
      <c r="F27" s="30" t="s">
        <v>66</v>
      </c>
      <c r="G27" s="32" t="s">
        <v>85</v>
      </c>
    </row>
    <row r="28" spans="1:7" ht="15" thickBot="1" x14ac:dyDescent="0.35">
      <c r="A28" s="30" t="s">
        <v>27</v>
      </c>
      <c r="B28" s="30" t="s">
        <v>80</v>
      </c>
      <c r="C28" s="30" t="s">
        <v>81</v>
      </c>
      <c r="D28" s="31">
        <v>15000</v>
      </c>
      <c r="E28" s="30" t="s">
        <v>27</v>
      </c>
      <c r="F28" s="30" t="s">
        <v>66</v>
      </c>
      <c r="G28" s="32" t="s">
        <v>85</v>
      </c>
    </row>
    <row r="29" spans="1:7" x14ac:dyDescent="0.3">
      <c r="A29" s="33" t="s">
        <v>26</v>
      </c>
      <c r="B29" s="30"/>
      <c r="C29" s="30"/>
      <c r="D29" s="41">
        <f>SUM(D22:D28)</f>
        <v>110000</v>
      </c>
      <c r="E29" s="30"/>
      <c r="F29" s="30"/>
    </row>
    <row r="30" spans="1:7" x14ac:dyDescent="0.3">
      <c r="A30" s="30"/>
      <c r="B30" s="30"/>
      <c r="C30" s="30"/>
      <c r="D30" s="31"/>
      <c r="E30" s="30"/>
      <c r="F30" s="30"/>
    </row>
    <row r="31" spans="1:7" ht="15" thickBot="1" x14ac:dyDescent="0.35">
      <c r="A31" s="33" t="s">
        <v>87</v>
      </c>
      <c r="B31" s="30"/>
      <c r="C31" s="30"/>
      <c r="D31" s="31"/>
      <c r="E31" s="30"/>
      <c r="F31" s="30"/>
    </row>
    <row r="32" spans="1:7" ht="29.4" thickBot="1" x14ac:dyDescent="0.35">
      <c r="A32" s="30" t="s">
        <v>29</v>
      </c>
      <c r="B32" s="30" t="s">
        <v>80</v>
      </c>
      <c r="C32" s="30" t="s">
        <v>88</v>
      </c>
      <c r="D32" s="31">
        <v>50000</v>
      </c>
      <c r="E32" s="30" t="s">
        <v>89</v>
      </c>
      <c r="F32" s="30" t="s">
        <v>66</v>
      </c>
      <c r="G32" s="38" t="s">
        <v>90</v>
      </c>
    </row>
    <row r="33" spans="1:7" ht="29.4" thickBot="1" x14ac:dyDescent="0.35">
      <c r="A33" s="30" t="s">
        <v>31</v>
      </c>
      <c r="B33" s="30" t="s">
        <v>80</v>
      </c>
      <c r="C33" s="30" t="s">
        <v>88</v>
      </c>
      <c r="D33" s="31">
        <v>40000</v>
      </c>
      <c r="E33" s="30" t="s">
        <v>91</v>
      </c>
      <c r="F33" s="30" t="s">
        <v>66</v>
      </c>
      <c r="G33" s="38" t="s">
        <v>90</v>
      </c>
    </row>
    <row r="34" spans="1:7" x14ac:dyDescent="0.3">
      <c r="A34" s="33" t="s">
        <v>26</v>
      </c>
      <c r="B34" s="33"/>
      <c r="C34" s="33"/>
      <c r="D34" s="41">
        <f>SUM(D32:D33)</f>
        <v>90000</v>
      </c>
      <c r="E34" s="30"/>
      <c r="F34" s="30"/>
    </row>
    <row r="39" spans="1:7" x14ac:dyDescent="0.3">
      <c r="C39" s="33" t="s">
        <v>92</v>
      </c>
      <c r="D39" s="39">
        <f>SUM(D5:D18)</f>
        <v>4940000</v>
      </c>
      <c r="E39" s="33" t="s">
        <v>40</v>
      </c>
    </row>
    <row r="40" spans="1:7" x14ac:dyDescent="0.3">
      <c r="C40" s="33" t="s">
        <v>93</v>
      </c>
      <c r="D40" s="40">
        <f>SUM(D22:D28)</f>
        <v>110000</v>
      </c>
      <c r="E40" s="33" t="s">
        <v>40</v>
      </c>
    </row>
  </sheetData>
  <autoFilter ref="A3:F28" xr:uid="{00000000-0009-0000-0000-000000000000}"/>
  <mergeCells count="2">
    <mergeCell ref="A1:F1"/>
    <mergeCell ref="G16:G17"/>
  </mergeCells>
  <dataValidations count="1">
    <dataValidation type="list" sqref="B22:B115 B5:B20" xr:uid="{4D82DAE2-6734-4330-9ED7-5E3ECBA32F9E}">
      <formula1>"Fixed,Variable,Semi-Variable"</formula1>
    </dataValidation>
  </dataValidation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1A25A-64F9-4D9E-8C6A-A9B1EC53619A}">
  <dimension ref="A1:O17"/>
  <sheetViews>
    <sheetView showGridLines="0" zoomScale="85" zoomScaleNormal="85" workbookViewId="0">
      <pane xSplit="1" ySplit="4" topLeftCell="B5" activePane="bottomRight" state="frozen"/>
      <selection activeCell="F33" sqref="F33"/>
      <selection pane="topRight" activeCell="F33" sqref="F33"/>
      <selection pane="bottomLeft" activeCell="F33" sqref="F33"/>
      <selection pane="bottomRight" activeCell="N6" sqref="N6"/>
    </sheetView>
  </sheetViews>
  <sheetFormatPr defaultColWidth="8.6640625" defaultRowHeight="14.4" x14ac:dyDescent="0.3"/>
  <cols>
    <col min="1" max="1" width="5" style="11" customWidth="1"/>
    <col min="2" max="2" width="7" style="11" customWidth="1"/>
    <col min="3" max="3" width="10" style="11" customWidth="1"/>
    <col min="4" max="4" width="15" style="11" customWidth="1"/>
    <col min="5" max="6" width="14" style="11" customWidth="1"/>
    <col min="7" max="7" width="15.44140625" style="11" customWidth="1"/>
    <col min="8" max="8" width="16" style="11" customWidth="1"/>
    <col min="9" max="9" width="15" style="11" customWidth="1"/>
    <col min="10" max="10" width="19.88671875" style="11" bestFit="1" customWidth="1"/>
    <col min="11" max="12" width="18.44140625" style="11" customWidth="1"/>
    <col min="13" max="13" width="19" style="11" customWidth="1"/>
    <col min="14" max="14" width="17" style="11" customWidth="1"/>
    <col min="15" max="15" width="13.5546875" style="11" bestFit="1" customWidth="1"/>
    <col min="16" max="16384" width="8.6640625" style="11"/>
  </cols>
  <sheetData>
    <row r="1" spans="1:15" ht="17.399999999999999" x14ac:dyDescent="0.3">
      <c r="A1" s="10" t="s">
        <v>34</v>
      </c>
    </row>
    <row r="3" spans="1:15" ht="36" customHeight="1" x14ac:dyDescent="0.3">
      <c r="A3" s="58" t="s">
        <v>1</v>
      </c>
      <c r="B3" s="59" t="s">
        <v>94</v>
      </c>
      <c r="C3" s="60"/>
      <c r="D3" s="61"/>
      <c r="E3" s="62" t="s">
        <v>35</v>
      </c>
      <c r="F3" s="62"/>
      <c r="G3" s="62"/>
      <c r="H3" s="63" t="s">
        <v>36</v>
      </c>
      <c r="I3" s="63"/>
      <c r="J3" s="63"/>
      <c r="K3" s="63"/>
      <c r="L3" s="64" t="s">
        <v>37</v>
      </c>
      <c r="M3" s="14" t="s">
        <v>38</v>
      </c>
      <c r="N3" s="57" t="s">
        <v>39</v>
      </c>
      <c r="O3" s="57"/>
    </row>
    <row r="4" spans="1:15" ht="55.2" x14ac:dyDescent="0.3">
      <c r="A4" s="58"/>
      <c r="B4" s="13" t="s">
        <v>40</v>
      </c>
      <c r="C4" s="13" t="s">
        <v>41</v>
      </c>
      <c r="D4" s="13" t="s">
        <v>42</v>
      </c>
      <c r="E4" s="15" t="s">
        <v>43</v>
      </c>
      <c r="F4" s="15" t="s">
        <v>44</v>
      </c>
      <c r="G4" s="15" t="s">
        <v>45</v>
      </c>
      <c r="H4" s="16" t="s">
        <v>46</v>
      </c>
      <c r="I4" s="16" t="s">
        <v>47</v>
      </c>
      <c r="J4" s="16" t="s">
        <v>48</v>
      </c>
      <c r="K4" s="16" t="s">
        <v>49</v>
      </c>
      <c r="L4" s="65"/>
      <c r="M4" s="17" t="s">
        <v>50</v>
      </c>
      <c r="N4" s="18" t="s">
        <v>51</v>
      </c>
      <c r="O4" s="18" t="s">
        <v>52</v>
      </c>
    </row>
    <row r="5" spans="1:15" x14ac:dyDescent="0.3">
      <c r="A5" s="19">
        <v>1</v>
      </c>
      <c r="B5" s="20">
        <v>2</v>
      </c>
      <c r="C5" s="20">
        <v>25</v>
      </c>
      <c r="D5" s="21"/>
      <c r="E5" s="12">
        <f>'Cost Master'!$D$11</f>
        <v>350000</v>
      </c>
      <c r="F5" s="12">
        <f>'Cost Master'!$D$19</f>
        <v>4240000</v>
      </c>
      <c r="G5" s="12">
        <f>E5+(F5*B5)</f>
        <v>8830000</v>
      </c>
      <c r="H5" s="12">
        <f>'Cost Master'!$D$29</f>
        <v>110000</v>
      </c>
      <c r="I5" s="12">
        <f>'Cost Master'!$D$34</f>
        <v>90000</v>
      </c>
      <c r="J5" s="12">
        <f>H5+(I5*B5)</f>
        <v>290000</v>
      </c>
      <c r="K5" s="12">
        <f>J5*C5</f>
        <v>7250000</v>
      </c>
      <c r="L5" s="12">
        <f>G5+K5</f>
        <v>16080000</v>
      </c>
      <c r="M5" s="12">
        <f>D5*C5</f>
        <v>0</v>
      </c>
      <c r="N5" s="22">
        <f>M5-L5</f>
        <v>-16080000</v>
      </c>
      <c r="O5" s="12">
        <f>L5/C5</f>
        <v>643200</v>
      </c>
    </row>
    <row r="6" spans="1:15" x14ac:dyDescent="0.3">
      <c r="A6" s="19">
        <v>2</v>
      </c>
      <c r="B6" s="20">
        <v>2</v>
      </c>
      <c r="C6" s="20">
        <v>11</v>
      </c>
      <c r="D6" s="21"/>
      <c r="E6" s="12">
        <f>'Cost Master'!$D$11</f>
        <v>350000</v>
      </c>
      <c r="F6" s="12">
        <f>'Cost Master'!$D$19</f>
        <v>4240000</v>
      </c>
      <c r="G6" s="12">
        <f>E6+(F6*B6)</f>
        <v>8830000</v>
      </c>
      <c r="H6" s="12">
        <f>'Cost Master'!$D$29</f>
        <v>110000</v>
      </c>
      <c r="I6" s="12">
        <f>'Cost Master'!$D$34</f>
        <v>90000</v>
      </c>
      <c r="J6" s="12">
        <f t="shared" ref="J6:J10" si="0">H6+(I6*B6)</f>
        <v>290000</v>
      </c>
      <c r="K6" s="12">
        <f t="shared" ref="K6:K10" si="1">J6*C6</f>
        <v>3190000</v>
      </c>
      <c r="L6" s="12">
        <f t="shared" ref="L6:L10" si="2">G6+K6</f>
        <v>12020000</v>
      </c>
      <c r="M6" s="12">
        <f t="shared" ref="M6:M10" si="3">D6*C6</f>
        <v>0</v>
      </c>
      <c r="N6" s="22">
        <f t="shared" ref="N6:N10" si="4">M6-L6</f>
        <v>-12020000</v>
      </c>
      <c r="O6" s="12">
        <f t="shared" ref="O6:O10" si="5">L6/C6</f>
        <v>1092727.2727272727</v>
      </c>
    </row>
    <row r="7" spans="1:15" x14ac:dyDescent="0.3">
      <c r="A7" s="19">
        <v>3</v>
      </c>
      <c r="B7" s="20">
        <v>3</v>
      </c>
      <c r="C7" s="20">
        <v>10</v>
      </c>
      <c r="D7" s="21"/>
      <c r="E7" s="12">
        <f>'Cost Master'!$D$11</f>
        <v>350000</v>
      </c>
      <c r="F7" s="12">
        <f>'Cost Master'!$D$19</f>
        <v>4240000</v>
      </c>
      <c r="G7" s="12">
        <f t="shared" ref="G7:G10" si="6">E7+(F7*B7)</f>
        <v>13070000</v>
      </c>
      <c r="H7" s="12">
        <f>'Cost Master'!$D$29</f>
        <v>110000</v>
      </c>
      <c r="I7" s="12">
        <f>'Cost Master'!$D$34</f>
        <v>90000</v>
      </c>
      <c r="J7" s="12">
        <f t="shared" si="0"/>
        <v>380000</v>
      </c>
      <c r="K7" s="12">
        <f t="shared" si="1"/>
        <v>3800000</v>
      </c>
      <c r="L7" s="12">
        <f t="shared" si="2"/>
        <v>16870000</v>
      </c>
      <c r="M7" s="12">
        <f t="shared" si="3"/>
        <v>0</v>
      </c>
      <c r="N7" s="22">
        <f t="shared" si="4"/>
        <v>-16870000</v>
      </c>
      <c r="O7" s="12">
        <f t="shared" si="5"/>
        <v>1687000</v>
      </c>
    </row>
    <row r="8" spans="1:15" x14ac:dyDescent="0.3">
      <c r="A8" s="19">
        <v>4</v>
      </c>
      <c r="B8" s="20">
        <v>3</v>
      </c>
      <c r="C8" s="20">
        <v>10</v>
      </c>
      <c r="D8" s="21"/>
      <c r="E8" s="12">
        <f>'Cost Master'!$D$11</f>
        <v>350000</v>
      </c>
      <c r="F8" s="12">
        <f>'Cost Master'!$D$19</f>
        <v>4240000</v>
      </c>
      <c r="G8" s="12">
        <f t="shared" si="6"/>
        <v>13070000</v>
      </c>
      <c r="H8" s="12">
        <f>'Cost Master'!$D$29</f>
        <v>110000</v>
      </c>
      <c r="I8" s="12">
        <f>'Cost Master'!$D$34</f>
        <v>90000</v>
      </c>
      <c r="J8" s="12">
        <f t="shared" si="0"/>
        <v>380000</v>
      </c>
      <c r="K8" s="12">
        <f t="shared" si="1"/>
        <v>3800000</v>
      </c>
      <c r="L8" s="12">
        <f t="shared" si="2"/>
        <v>16870000</v>
      </c>
      <c r="M8" s="12">
        <f t="shared" si="3"/>
        <v>0</v>
      </c>
      <c r="N8" s="22">
        <f t="shared" si="4"/>
        <v>-16870000</v>
      </c>
      <c r="O8" s="12">
        <f t="shared" si="5"/>
        <v>1687000</v>
      </c>
    </row>
    <row r="9" spans="1:15" x14ac:dyDescent="0.3">
      <c r="A9" s="19">
        <v>5</v>
      </c>
      <c r="B9" s="20">
        <v>1</v>
      </c>
      <c r="C9" s="20">
        <v>20</v>
      </c>
      <c r="D9" s="21"/>
      <c r="E9" s="12">
        <f>'Cost Master'!$D$11</f>
        <v>350000</v>
      </c>
      <c r="F9" s="12">
        <f>'Cost Master'!$D$19</f>
        <v>4240000</v>
      </c>
      <c r="G9" s="12">
        <f t="shared" si="6"/>
        <v>4590000</v>
      </c>
      <c r="H9" s="12">
        <f>'Cost Master'!$D$29</f>
        <v>110000</v>
      </c>
      <c r="I9" s="12">
        <f>'Cost Master'!$D$34</f>
        <v>90000</v>
      </c>
      <c r="J9" s="12">
        <f t="shared" si="0"/>
        <v>200000</v>
      </c>
      <c r="K9" s="12">
        <f t="shared" si="1"/>
        <v>4000000</v>
      </c>
      <c r="L9" s="12">
        <f t="shared" si="2"/>
        <v>8590000</v>
      </c>
      <c r="M9" s="12">
        <f t="shared" si="3"/>
        <v>0</v>
      </c>
      <c r="N9" s="22">
        <f t="shared" si="4"/>
        <v>-8590000</v>
      </c>
      <c r="O9" s="12">
        <f t="shared" si="5"/>
        <v>429500</v>
      </c>
    </row>
    <row r="10" spans="1:15" x14ac:dyDescent="0.3">
      <c r="A10" s="19">
        <v>6</v>
      </c>
      <c r="B10" s="20">
        <v>1</v>
      </c>
      <c r="C10" s="20">
        <v>20</v>
      </c>
      <c r="D10" s="21"/>
      <c r="E10" s="12">
        <f>'Cost Master'!$D$11</f>
        <v>350000</v>
      </c>
      <c r="F10" s="12">
        <f>'Cost Master'!$D$19</f>
        <v>4240000</v>
      </c>
      <c r="G10" s="12">
        <f t="shared" si="6"/>
        <v>4590000</v>
      </c>
      <c r="H10" s="12">
        <f>'Cost Master'!$D$29</f>
        <v>110000</v>
      </c>
      <c r="I10" s="12">
        <f>'Cost Master'!$D$34</f>
        <v>90000</v>
      </c>
      <c r="J10" s="12">
        <f t="shared" si="0"/>
        <v>200000</v>
      </c>
      <c r="K10" s="12">
        <f t="shared" si="1"/>
        <v>4000000</v>
      </c>
      <c r="L10" s="12">
        <f t="shared" si="2"/>
        <v>8590000</v>
      </c>
      <c r="M10" s="12">
        <f t="shared" si="3"/>
        <v>0</v>
      </c>
      <c r="N10" s="22">
        <f t="shared" si="4"/>
        <v>-8590000</v>
      </c>
      <c r="O10" s="12">
        <f t="shared" si="5"/>
        <v>429500</v>
      </c>
    </row>
    <row r="13" spans="1:15" x14ac:dyDescent="0.3">
      <c r="A13" s="23"/>
    </row>
    <row r="14" spans="1:15" x14ac:dyDescent="0.3">
      <c r="A14" s="24"/>
      <c r="B14" s="25"/>
    </row>
    <row r="15" spans="1:15" x14ac:dyDescent="0.3">
      <c r="A15" s="24"/>
    </row>
    <row r="16" spans="1:15" x14ac:dyDescent="0.3">
      <c r="A16" s="24"/>
    </row>
    <row r="17" spans="1:1" x14ac:dyDescent="0.3">
      <c r="A17" s="24"/>
    </row>
  </sheetData>
  <mergeCells count="6">
    <mergeCell ref="N3:O3"/>
    <mergeCell ref="A3:A4"/>
    <mergeCell ref="B3:D3"/>
    <mergeCell ref="E3:G3"/>
    <mergeCell ref="H3:K3"/>
    <mergeCell ref="L3:L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Requirements Costing</vt:lpstr>
      <vt:lpstr>Cost Master</vt:lpstr>
      <vt:lpstr>Product Costing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SentralImprovement 005</dc:creator>
  <cp:lastModifiedBy>SentralImprovement 005</cp:lastModifiedBy>
  <dcterms:created xsi:type="dcterms:W3CDTF">2026-10-22T03:04:06Z</dcterms:created>
  <dcterms:modified xsi:type="dcterms:W3CDTF">2026-10-23T03:49:50Z</dcterms:modified>
</cp:coreProperties>
</file>