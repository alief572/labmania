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70404E3-82E9-4B62-A64C-04559C7A172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quirements Program" sheetId="1" r:id="rId1"/>
    <sheet name="Cost Master" sheetId="2" r:id="rId2"/>
    <sheet name="Simulasi Costing" sheetId="3" r:id="rId3"/>
  </sheets>
  <definedNames>
    <definedName name="_xlnm._FilterDatabase" localSheetId="1" hidden="1">'Cost Master'!$A$3:$F$28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" i="3" l="1"/>
  <c r="M9" i="3"/>
  <c r="M8" i="3"/>
  <c r="M7" i="3"/>
  <c r="M6" i="3"/>
  <c r="M5" i="3"/>
  <c r="D34" i="2"/>
  <c r="D29" i="2"/>
  <c r="D19" i="2"/>
  <c r="D11" i="2"/>
  <c r="I10" i="3" l="1"/>
  <c r="I9" i="3"/>
  <c r="I8" i="3"/>
  <c r="I7" i="3"/>
  <c r="I6" i="3"/>
  <c r="I5" i="3"/>
  <c r="H6" i="3"/>
  <c r="J6" i="3" s="1"/>
  <c r="K6" i="3" s="1"/>
  <c r="H5" i="3"/>
  <c r="J5" i="3" s="1"/>
  <c r="K5" i="3" s="1"/>
  <c r="D40" i="2"/>
  <c r="H10" i="3"/>
  <c r="H9" i="3"/>
  <c r="J9" i="3" s="1"/>
  <c r="K9" i="3" s="1"/>
  <c r="H8" i="3"/>
  <c r="J8" i="3" s="1"/>
  <c r="K8" i="3" s="1"/>
  <c r="H7" i="3"/>
  <c r="J7" i="3" s="1"/>
  <c r="K7" i="3" s="1"/>
  <c r="F8" i="3"/>
  <c r="F7" i="3"/>
  <c r="F6" i="3"/>
  <c r="F5" i="3"/>
  <c r="F10" i="3"/>
  <c r="F9" i="3"/>
  <c r="E8" i="3"/>
  <c r="G8" i="3" s="1"/>
  <c r="L8" i="3" s="1"/>
  <c r="E7" i="3"/>
  <c r="G7" i="3" s="1"/>
  <c r="L7" i="3" s="1"/>
  <c r="E6" i="3"/>
  <c r="E5" i="3"/>
  <c r="D39" i="2"/>
  <c r="E10" i="3"/>
  <c r="E9" i="3"/>
  <c r="N8" i="3" l="1"/>
  <c r="O8" i="3"/>
  <c r="N7" i="3"/>
  <c r="O7" i="3"/>
  <c r="G6" i="3"/>
  <c r="L6" i="3" s="1"/>
  <c r="G5" i="3"/>
  <c r="L5" i="3" s="1"/>
  <c r="G10" i="3"/>
  <c r="G9" i="3"/>
  <c r="L9" i="3" s="1"/>
  <c r="J10" i="3"/>
  <c r="K10" i="3" s="1"/>
  <c r="O6" i="3" l="1"/>
  <c r="N6" i="3"/>
  <c r="O5" i="3"/>
  <c r="N5" i="3"/>
  <c r="O9" i="3"/>
  <c r="N9" i="3"/>
  <c r="L10" i="3"/>
  <c r="N10" i="3" l="1"/>
  <c r="O10" i="3"/>
</calcChain>
</file>

<file path=xl/sharedStrings.xml><?xml version="1.0" encoding="utf-8"?>
<sst xmlns="http://schemas.openxmlformats.org/spreadsheetml/2006/main" count="250" uniqueCount="158">
  <si>
    <t>1. Requirements  Master Program</t>
  </si>
  <si>
    <t>No</t>
  </si>
  <si>
    <t>Item</t>
  </si>
  <si>
    <t>Fix Requirements</t>
  </si>
  <si>
    <t>Catatan</t>
  </si>
  <si>
    <t>Master Program</t>
  </si>
  <si>
    <t>Master Program = program siap jual yang dibentuk dari Product Combine (Master Data) + costing (Fixed Cost &amp; Variable Cost).
Program dibuat secara umum: tidak ada lagi pemisahan Public / B2B di level program. Pemilihan Public atau B2B dilakukan di modul Quotation.</t>
  </si>
  <si>
    <t>Sumber atribut</t>
  </si>
  <si>
    <t>Semua atribut (Jenis Produk, Jenis Sertifikasi, Jenis Bidang, Varian Pelaksanaan, Product Combine, Master Rate) hanya dipilih dari Master Data, tidak diinput ulang di Master Program.</t>
  </si>
  <si>
    <t>Isi Master Program</t>
  </si>
  <si>
    <t>1) Product Combine (select dari Master Data)
2) Durasi (hari)
3) Target peserta (baseline)
4) Harga jual standar / peserta (baseline)
5) Target profit (opsional)
6) Item costing: Fixed Cost &amp; Variable Cost</t>
  </si>
  <si>
    <t>Baseline = angka acuan. Bisa diubah per quotation tanpa mengubah master.</t>
  </si>
  <si>
    <t>Customer</t>
  </si>
  <si>
    <t>Tidak ada customer di Master Program. Peserta (Public) atau Company (B2B) dipilih di Quotation.</t>
  </si>
  <si>
    <t>Sebelumnya Company wajib dipilih saat program B2B dibuat; dipindah ke Quotation.</t>
  </si>
  <si>
    <t>Status</t>
  </si>
  <si>
    <t>Draft → Final, atau Batal.</t>
  </si>
  <si>
    <t>Draft</t>
  </si>
  <si>
    <t>Program masih disusun, angka belum pasti, bisa diedit.</t>
  </si>
  <si>
    <t>Final (siap dipakai)</t>
  </si>
  <si>
    <t>Dikonfirmasi fix, angka menjadi baseline resmi, terkunci (hanya bisa dilihat), dan muncul sebagai pilihan Master Program di modul Quotation.</t>
  </si>
  <si>
    <t>Batal</t>
  </si>
  <si>
    <t>Program tidak dipakai lagi dan tidak muncul di pilihan Quotation. Quotation yang sudah terbentuk tidak terpengaruh.</t>
  </si>
  <si>
    <t>Konfirmasi Final</t>
  </si>
  <si>
    <t>Aksi "Finalkan program" memunculkan popup ringkasan (durasi, target peserta, harga jual, HPP, profit, BEP) dan peringatan bila profit minus / BEP di atas target. Setelah dikonfirmasi status menjadi Final tanpa berpindah halaman.</t>
  </si>
  <si>
    <t>Perubahan setelah Final</t>
  </si>
  <si>
    <t>Master Program Final tidak bisa diubah. Bila perlu perubahan master, batalkan lalu buat program baru.
Penyesuaian harga / costing untuk kebutuhan penjualan dilakukan di Quotation (tidak mengubah master).</t>
  </si>
  <si>
    <t>Pengecekan sebelum Final</t>
  </si>
  <si>
    <t>Saat ini tidak ada approval.</t>
  </si>
  <si>
    <t>Pembagian biaya</t>
  </si>
  <si>
    <t>Satu model costing untuk semua program: Fixed Cost (tidak bergantung jumlah peserta) dan Variable Cost (bergantung jumlah peserta).</t>
  </si>
  <si>
    <t>Berlaku sama untuk penjualan Public maupun B2B.</t>
  </si>
  <si>
    <t>Satuan fixed cost</t>
  </si>
  <si>
    <t>/ Event (sekali per acara), / Day (per hari), / Hours (per jam).</t>
  </si>
  <si>
    <t>Satuan variable cost</t>
  </si>
  <si>
    <t>/ Peserta / Event (per peserta untuk seluruh acara) dan / Peserta / Day (per peserta per hari).</t>
  </si>
  <si>
    <t>Harga standar biaya</t>
  </si>
  <si>
    <t>Setiap item punya default cost dari Master Rate (Master Data) yang bisa disesuaikan per program.</t>
  </si>
  <si>
    <t>Cara input biaya</t>
  </si>
  <si>
    <t>Fixed Cost tampil semua sebagai default. Variable Cost ditambah satu per satu (pilih dari Master Rate, lalu "+ Tambah"). Ada opsi biaya manual di luar master.</t>
  </si>
  <si>
    <t>Mengikuti cara input Public yang sudah ada.</t>
  </si>
  <si>
    <t>Simulasi costing</t>
  </si>
  <si>
    <t>1) Total fixed cost
2) Total variable cost
3) HPP
4) Profit
5) Harga BEP / Peserta
6) Jumlah peserta BEP
7) Target Profit
8) Harga jual</t>
  </si>
  <si>
    <t>Target dan realisasi</t>
  </si>
  <si>
    <t>Master Program hanya menyimpan angka baseline. Peserta fix, realisasi, dan perbandingan As Is vs Aktual dihitung di Quotation.</t>
  </si>
  <si>
    <t>Sebelumnya aturan As Is vs Aktual ada di Product Costing Public.</t>
  </si>
  <si>
    <t>2. Pain Point  Master Program</t>
  </si>
  <si>
    <t>Solusi</t>
  </si>
  <si>
    <t>3.Wishlist  Master Program</t>
  </si>
  <si>
    <t>Simulasi profit</t>
  </si>
  <si>
    <t>Profit = Pendapatan − (Total Fixed Cost + Total Variable Cost)</t>
  </si>
  <si>
    <t>Rumus dikoreksi: sebelumnya tertulis (Fixed − Variable), yang salah tanda.</t>
  </si>
  <si>
    <t>Simulasi BEP</t>
  </si>
  <si>
    <t>HPP = Total Fixed Cost + Total Variable Cost
BEP Peserta = Total Fixed Cost ÷ (Harga jual per peserta − Biaya variable per peserta), dibulatkan ke atas.
BEP Harga Jual = HPP ÷ Target Peserta</t>
  </si>
  <si>
    <t>4.SIPOC  Master Program</t>
  </si>
  <si>
    <t>Supplier</t>
  </si>
  <si>
    <t>Input</t>
  </si>
  <si>
    <t>Process</t>
  </si>
  <si>
    <t>Output</t>
  </si>
  <si>
    <t>Master Data (Product Combine)</t>
  </si>
  <si>
    <t>Produk (hasil Product Combine)</t>
  </si>
  <si>
    <t>Master Program (costing)</t>
  </si>
  <si>
    <t>- Target peserta
- Target profit
- HPP
- BEP Peserta
- BEP Harga Jual
- Total Cost (Fixed &amp; Variable)</t>
  </si>
  <si>
    <t>Quotation</t>
  </si>
  <si>
    <t>Master Data (Master Rate)</t>
  </si>
  <si>
    <t>- Item Fixed Cost
- Item Variable Cost
- Default cost Fixed &amp; Variable</t>
  </si>
  <si>
    <t>5. Open Points  (perlu dikonfirmasi)</t>
  </si>
  <si>
    <t>Pertanyaan / Temuan</t>
  </si>
  <si>
    <t>Satuan Jam vs Hari</t>
  </si>
  <si>
    <t>Mandays Rate Charge Labmania dan Honor Trainer bersatuan "Jam", tapi di simulasi dikalikan jumlah Hari. Perlu dipastikan basisnya per jam atau per hari.</t>
  </si>
  <si>
    <t>Berpengaruh langsung ke HPP.</t>
  </si>
  <si>
    <t>Hotel Trainer ** dan ***</t>
  </si>
  <si>
    <t>Kedua item masuk ke Total Fixed Cost / Day. Kalau keduanya terisi akan terhitung ganda, padahal trainer hanya menginap di satu jenis hotel.</t>
  </si>
  <si>
    <t>Perlu pilih salah satu per program.</t>
  </si>
  <si>
    <t>Item duplikat</t>
  </si>
  <si>
    <t>"Transport Trainer Luar Kota PP" muncul 2x di Fixed Cost / Event (satu tanpa default cost).</t>
  </si>
  <si>
    <t>Pastikan salah satu dihapus atau diganti nama.</t>
  </si>
  <si>
    <t>Rate B2B vs Public</t>
  </si>
  <si>
    <t>Rate B2B berbeda dari Public. Apakah memakai item terpisah (misalnya "Honor Trainer Inhouse") atau satu item dengan dua harga default?</t>
  </si>
  <si>
    <t>Ditentukan bersama Quotation.</t>
  </si>
  <si>
    <t>COST MASTER — REFERENSI DARI MASTER DATA &gt; MASTER RATE</t>
  </si>
  <si>
    <t>Item Biaya</t>
  </si>
  <si>
    <t>Kategori</t>
  </si>
  <si>
    <t>Satuan</t>
  </si>
  <si>
    <t>Default Cost</t>
  </si>
  <si>
    <t>Keterangan</t>
  </si>
  <si>
    <t>Aktif</t>
  </si>
  <si>
    <t>CATATAN SENTRAL</t>
  </si>
  <si>
    <t>Fix Cost / Event</t>
  </si>
  <si>
    <t xml:space="preserve">Transport Trainer Luar Kota PP </t>
  </si>
  <si>
    <t>Fixed</t>
  </si>
  <si>
    <t>Event</t>
  </si>
  <si>
    <t>Transport / Hari</t>
  </si>
  <si>
    <t>Ya</t>
  </si>
  <si>
    <t>Default, Edit (Master Program)</t>
  </si>
  <si>
    <t>Marketing/Ads</t>
  </si>
  <si>
    <t>Iklan</t>
  </si>
  <si>
    <t>Dokumentasi</t>
  </si>
  <si>
    <t>Banner/Promosi</t>
  </si>
  <si>
    <t>Promosi</t>
  </si>
  <si>
    <t>Administrasi</t>
  </si>
  <si>
    <t>Total</t>
  </si>
  <si>
    <t>Fix Cost / Day &amp; Hours</t>
  </si>
  <si>
    <t>Mandays Rate Charge Labmania</t>
  </si>
  <si>
    <t>Jam</t>
  </si>
  <si>
    <t xml:space="preserve">Fix, saat mau edit di master </t>
  </si>
  <si>
    <t>Honor Trainer</t>
  </si>
  <si>
    <t>Hotel Trainer **</t>
  </si>
  <si>
    <t>Hari</t>
  </si>
  <si>
    <t>Hotel</t>
  </si>
  <si>
    <t>Hotel trainer ada 2 jenis, bintang 2 dan bintang 3. Default, Edit</t>
  </si>
  <si>
    <t>Hotel Trainer ***</t>
  </si>
  <si>
    <t>Konsumsi Trainer, diluar konsumsi selama training</t>
  </si>
  <si>
    <t>Konsumsi trainer / Hari</t>
  </si>
  <si>
    <t>Makan siang dan snack, include konsumsi peserta training. Default, Edit</t>
  </si>
  <si>
    <t>Variable Cost / Peserta / Event</t>
  </si>
  <si>
    <t>Modul</t>
  </si>
  <si>
    <t>Variable</t>
  </si>
  <si>
    <t>Peserta/Event</t>
  </si>
  <si>
    <t>Sertifikat</t>
  </si>
  <si>
    <t>Seminar Kit</t>
  </si>
  <si>
    <t>Kit</t>
  </si>
  <si>
    <t>Input Free text</t>
  </si>
  <si>
    <t>Goodybag</t>
  </si>
  <si>
    <t>Merchandise</t>
  </si>
  <si>
    <t>Sertifikasi LSP</t>
  </si>
  <si>
    <t>Ongkir Dokumen</t>
  </si>
  <si>
    <t>Variable Cost / Peserta / Day</t>
  </si>
  <si>
    <t xml:space="preserve">Makan Siang Training </t>
  </si>
  <si>
    <t>Peserta/Hari</t>
  </si>
  <si>
    <t>Makan/snack</t>
  </si>
  <si>
    <t>Untuk peserta + trainer + asisten. Default, edit</t>
  </si>
  <si>
    <t>Coffee Break</t>
  </si>
  <si>
    <t>Coffee break</t>
  </si>
  <si>
    <t>Catatan: sheet ini hanya referensi untuk simulasi. Sumber data resmi ada di Master Data &gt; Master Rate (file Product - Labmania).</t>
  </si>
  <si>
    <t>Total Fixed Cost (Event + 1 Hari)</t>
  </si>
  <si>
    <t>per program, 1 hari</t>
  </si>
  <si>
    <t>Total Variable Cost / Peserta (Event + 1 Hari)</t>
  </si>
  <si>
    <t>per peserta, 1 hari</t>
  </si>
  <si>
    <t>SIMULASI COSTING MASTER PROGRAM</t>
  </si>
  <si>
    <t>SKENARIO
(Simulasi, input)</t>
  </si>
  <si>
    <t>FIXED COST</t>
  </si>
  <si>
    <t>VARIABLE COST</t>
  </si>
  <si>
    <t>HPP</t>
  </si>
  <si>
    <t>PENDAPATAN</t>
  </si>
  <si>
    <t>HASIL</t>
  </si>
  <si>
    <t>Target Peserta</t>
  </si>
  <si>
    <t>Harga Jual / Peserta</t>
  </si>
  <si>
    <t>Rate / Event</t>
  </si>
  <si>
    <t>Rate / Day</t>
  </si>
  <si>
    <t>Total Fixed Cost
= Event + Day×Hari</t>
  </si>
  <si>
    <t>Rate / Peserta / Event</t>
  </si>
  <si>
    <t>Rate / Peserta / Day</t>
  </si>
  <si>
    <t>Biaya Var / Peserta
= Event + Day×Hari</t>
  </si>
  <si>
    <t>Total Variable Cost
= per Peserta × Peserta</t>
  </si>
  <si>
    <t>Total Pendapatan
= Harga × Peserta</t>
  </si>
  <si>
    <t>Profit
= Pendapatan − (Fixed + Variable)</t>
  </si>
  <si>
    <t>Harga BEP / Peserta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</si>
</sst>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[Red]\(#,##0\)"/>
    <numFmt numFmtId="165" formatCode="#,##0;[Red]\-#,##0;\-"/>
    <numFmt numFmtId="166" formatCode="&quot;Rp &quot;#,##0;[Red]&quot;-Rp &quot;#,##0;\-"/>
  </numFmts>
  <fonts count="15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Aptos Narrow"/>
      <charset val="1"/>
    </font>
    <font>
      <b/>
      <sz val="11"/>
      <name val="Aptos Narrow"/>
      <charset val="1"/>
    </font>
    <font>
      <sz val="11"/>
      <name val="Aptos Narrow"/>
      <charset val="1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Aptos Narrow"/>
      <family val="2"/>
      <charset val="1"/>
    </font>
    <font>
      <i/>
      <sz val="11"/>
      <name val="Aptos Narrow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24988555558946501"/>
        <bgColor rgb="FF004ED5"/>
      </patternFill>
    </fill>
    <fill>
      <patternFill patternType="solid">
        <fgColor theme="3" tint="0.89989928891872917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004ED5"/>
        <bgColor rgb="FF215F9A"/>
      </patternFill>
    </fill>
    <fill>
      <patternFill patternType="solid">
        <fgColor rgb="FF17365D"/>
        <bgColor rgb="FF333333"/>
      </patternFill>
    </fill>
    <fill>
      <patternFill patternType="solid">
        <fgColor theme="5" tint="-0.249977111117893"/>
        <bgColor rgb="FFE9713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79989013336588644"/>
        <bgColor rgb="FFDCEAF7"/>
      </patternFill>
    </fill>
    <fill>
      <patternFill patternType="solid">
        <fgColor theme="8" tint="0.79989013336588644"/>
        <bgColor rgb="FFDCEAF7"/>
      </patternFill>
    </fill>
    <fill>
      <patternFill patternType="solid">
        <fgColor theme="5"/>
        <bgColor rgb="FFFF8080"/>
      </patternFill>
    </fill>
    <fill>
      <patternFill patternType="solid">
        <fgColor theme="3" tint="0.74987029633472702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1" fillId="12" borderId="1" xfId="1" applyFont="1" applyFill="1" applyBorder="1" applyAlignment="1">
      <alignment horizontal="center" vertical="center" wrapText="1"/>
    </xf>
    <xf numFmtId="0" fontId="11" fillId="10" borderId="1" xfId="1" applyFont="1" applyFill="1" applyBorder="1" applyAlignment="1">
      <alignment horizontal="center" vertical="center" wrapText="1"/>
    </xf>
    <xf numFmtId="0" fontId="11" fillId="9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5" fillId="5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6" fillId="6" borderId="0" xfId="0" applyFont="1" applyFill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2" xfId="0" applyBorder="1"/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2" xfId="1" applyBorder="1" applyAlignment="1">
      <alignment wrapText="1"/>
    </xf>
    <xf numFmtId="0" fontId="9" fillId="0" borderId="0" xfId="0" applyFont="1"/>
    <xf numFmtId="164" fontId="8" fillId="0" borderId="0" xfId="0" applyNumberFormat="1" applyFont="1"/>
    <xf numFmtId="164" fontId="8" fillId="0" borderId="0" xfId="0" applyNumberFormat="1" applyFont="1" applyAlignment="1">
      <alignment vertical="center"/>
    </xf>
    <xf numFmtId="0" fontId="1" fillId="0" borderId="0" xfId="1"/>
    <xf numFmtId="0" fontId="10" fillId="0" borderId="0" xfId="1" applyFont="1"/>
    <xf numFmtId="0" fontId="11" fillId="8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9" borderId="1" xfId="1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horizontal="center" vertical="center" wrapText="1"/>
    </xf>
    <xf numFmtId="0" fontId="11" fillId="12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65" fontId="12" fillId="13" borderId="1" xfId="1" applyNumberFormat="1" applyFont="1" applyFill="1" applyBorder="1" applyAlignment="1">
      <alignment horizontal="center" vertical="center" wrapText="1"/>
    </xf>
    <xf numFmtId="166" fontId="12" fillId="13" borderId="1" xfId="1" applyNumberFormat="1" applyFont="1" applyFill="1" applyBorder="1"/>
    <xf numFmtId="166" fontId="12" fillId="0" borderId="1" xfId="1" applyNumberFormat="1" applyFont="1" applyBorder="1"/>
    <xf numFmtId="166" fontId="11" fillId="0" borderId="1" xfId="1" applyNumberFormat="1" applyFont="1" applyBorder="1"/>
    <xf numFmtId="0" fontId="13" fillId="0" borderId="0" xfId="1" applyFont="1"/>
    <xf numFmtId="0" fontId="14" fillId="0" borderId="0" xfId="1" applyFont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5F9A"/>
      <rgbColor rgb="FFC0C0C0"/>
      <rgbColor rgb="FF808080"/>
      <rgbColor rgb="FF9999FF"/>
      <rgbColor rgb="FF993366"/>
      <rgbColor rgb="FFF2F2F2"/>
      <rgbColor rgb="FFDCEAF7"/>
      <rgbColor rgb="FF660066"/>
      <rgbColor rgb="FFFF8080"/>
      <rgbColor rgb="FF004ED5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C04F1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opLeftCell="A42" zoomScaleNormal="100" workbookViewId="0">
      <selection activeCell="C35" sqref="C35"/>
    </sheetView>
  </sheetViews>
  <sheetFormatPr defaultColWidth="8.5546875" defaultRowHeight="14.4" x14ac:dyDescent="0.3"/>
  <cols>
    <col min="1" max="1" width="3.44140625" customWidth="1"/>
    <col min="2" max="2" width="33" customWidth="1"/>
    <col min="3" max="3" width="80" customWidth="1"/>
    <col min="4" max="4" width="55" customWidth="1"/>
    <col min="5" max="6" width="40" customWidth="1"/>
  </cols>
  <sheetData>
    <row r="1" spans="1:4" x14ac:dyDescent="0.3">
      <c r="A1" s="10" t="s">
        <v>0</v>
      </c>
      <c r="B1" s="10"/>
      <c r="C1" s="10"/>
      <c r="D1" s="10"/>
    </row>
    <row r="2" spans="1:4" ht="30" customHeight="1" x14ac:dyDescent="0.3">
      <c r="A2" s="11" t="s">
        <v>1</v>
      </c>
      <c r="B2" s="11" t="s">
        <v>2</v>
      </c>
      <c r="C2" s="11" t="s">
        <v>3</v>
      </c>
      <c r="D2" s="11" t="s">
        <v>4</v>
      </c>
    </row>
    <row r="3" spans="1:4" ht="81" customHeight="1" x14ac:dyDescent="0.3">
      <c r="A3" s="12">
        <v>1</v>
      </c>
      <c r="B3" s="13" t="s">
        <v>5</v>
      </c>
      <c r="C3" s="14" t="s">
        <v>6</v>
      </c>
      <c r="D3" s="14"/>
    </row>
    <row r="4" spans="1:4" ht="51" customHeight="1" x14ac:dyDescent="0.3">
      <c r="A4" s="12">
        <v>2</v>
      </c>
      <c r="B4" s="13" t="s">
        <v>7</v>
      </c>
      <c r="C4" s="14" t="s">
        <v>8</v>
      </c>
      <c r="D4" s="14"/>
    </row>
    <row r="5" spans="1:4" ht="96" customHeight="1" x14ac:dyDescent="0.3">
      <c r="A5" s="12">
        <v>3</v>
      </c>
      <c r="B5" s="13" t="s">
        <v>9</v>
      </c>
      <c r="C5" s="14" t="s">
        <v>10</v>
      </c>
      <c r="D5" s="14" t="s">
        <v>11</v>
      </c>
    </row>
    <row r="6" spans="1:4" ht="36" customHeight="1" x14ac:dyDescent="0.3">
      <c r="A6" s="12">
        <v>4</v>
      </c>
      <c r="B6" s="13" t="s">
        <v>12</v>
      </c>
      <c r="C6" s="14" t="s">
        <v>13</v>
      </c>
      <c r="D6" s="14" t="s">
        <v>14</v>
      </c>
    </row>
    <row r="7" spans="1:4" ht="21" customHeight="1" x14ac:dyDescent="0.3">
      <c r="A7" s="12">
        <v>5</v>
      </c>
      <c r="B7" s="13" t="s">
        <v>15</v>
      </c>
      <c r="C7" s="14" t="s">
        <v>16</v>
      </c>
      <c r="D7" s="14"/>
    </row>
    <row r="8" spans="1:4" ht="21" customHeight="1" x14ac:dyDescent="0.3">
      <c r="A8" s="12">
        <v>6</v>
      </c>
      <c r="B8" s="13" t="s">
        <v>17</v>
      </c>
      <c r="C8" s="14" t="s">
        <v>18</v>
      </c>
      <c r="D8" s="14"/>
    </row>
    <row r="9" spans="1:4" ht="36" customHeight="1" x14ac:dyDescent="0.3">
      <c r="A9" s="12">
        <v>7</v>
      </c>
      <c r="B9" s="13" t="s">
        <v>19</v>
      </c>
      <c r="C9" s="14" t="s">
        <v>20</v>
      </c>
      <c r="D9" s="14"/>
    </row>
    <row r="10" spans="1:4" ht="36" customHeight="1" x14ac:dyDescent="0.3">
      <c r="A10" s="12">
        <v>8</v>
      </c>
      <c r="B10" s="13" t="s">
        <v>21</v>
      </c>
      <c r="C10" s="14" t="s">
        <v>22</v>
      </c>
      <c r="D10" s="14"/>
    </row>
    <row r="11" spans="1:4" ht="51" customHeight="1" x14ac:dyDescent="0.3">
      <c r="A11" s="12">
        <v>9</v>
      </c>
      <c r="B11" s="13" t="s">
        <v>23</v>
      </c>
      <c r="C11" s="14" t="s">
        <v>24</v>
      </c>
      <c r="D11" s="14"/>
    </row>
    <row r="12" spans="1:4" ht="81" customHeight="1" x14ac:dyDescent="0.3">
      <c r="A12" s="12">
        <v>10</v>
      </c>
      <c r="B12" s="13" t="s">
        <v>25</v>
      </c>
      <c r="C12" s="14" t="s">
        <v>26</v>
      </c>
      <c r="D12" s="14"/>
    </row>
    <row r="13" spans="1:4" ht="21" customHeight="1" x14ac:dyDescent="0.3">
      <c r="A13" s="12">
        <v>11</v>
      </c>
      <c r="B13" s="13" t="s">
        <v>27</v>
      </c>
      <c r="C13" s="14" t="s">
        <v>28</v>
      </c>
      <c r="D13" s="14"/>
    </row>
    <row r="14" spans="1:4" ht="36" customHeight="1" x14ac:dyDescent="0.3">
      <c r="A14" s="12">
        <v>12</v>
      </c>
      <c r="B14" s="13" t="s">
        <v>29</v>
      </c>
      <c r="C14" s="14" t="s">
        <v>30</v>
      </c>
      <c r="D14" s="14" t="s">
        <v>31</v>
      </c>
    </row>
    <row r="15" spans="1:4" ht="21" customHeight="1" x14ac:dyDescent="0.3">
      <c r="A15" s="12">
        <v>13</v>
      </c>
      <c r="B15" s="13" t="s">
        <v>32</v>
      </c>
      <c r="C15" s="14" t="s">
        <v>33</v>
      </c>
      <c r="D15" s="14"/>
    </row>
    <row r="16" spans="1:4" ht="36" customHeight="1" x14ac:dyDescent="0.3">
      <c r="A16" s="12">
        <v>14</v>
      </c>
      <c r="B16" s="13" t="s">
        <v>34</v>
      </c>
      <c r="C16" s="14" t="s">
        <v>35</v>
      </c>
      <c r="D16" s="14"/>
    </row>
    <row r="17" spans="1:4" ht="36" customHeight="1" x14ac:dyDescent="0.3">
      <c r="A17" s="12">
        <v>15</v>
      </c>
      <c r="B17" s="13" t="s">
        <v>36</v>
      </c>
      <c r="C17" s="14" t="s">
        <v>37</v>
      </c>
      <c r="D17" s="14"/>
    </row>
    <row r="18" spans="1:4" ht="51" customHeight="1" x14ac:dyDescent="0.3">
      <c r="A18" s="12">
        <v>16</v>
      </c>
      <c r="B18" s="13" t="s">
        <v>38</v>
      </c>
      <c r="C18" s="14" t="s">
        <v>39</v>
      </c>
      <c r="D18" s="14" t="s">
        <v>40</v>
      </c>
    </row>
    <row r="19" spans="1:4" ht="126" customHeight="1" x14ac:dyDescent="0.3">
      <c r="A19" s="12">
        <v>17</v>
      </c>
      <c r="B19" s="13" t="s">
        <v>41</v>
      </c>
      <c r="C19" s="14" t="s">
        <v>42</v>
      </c>
      <c r="D19" s="14"/>
    </row>
    <row r="20" spans="1:4" ht="36" customHeight="1" x14ac:dyDescent="0.3">
      <c r="A20" s="12">
        <v>18</v>
      </c>
      <c r="B20" s="13" t="s">
        <v>43</v>
      </c>
      <c r="C20" s="14" t="s">
        <v>44</v>
      </c>
      <c r="D20" s="14" t="s">
        <v>45</v>
      </c>
    </row>
    <row r="23" spans="1:4" x14ac:dyDescent="0.3">
      <c r="A23" s="10" t="s">
        <v>46</v>
      </c>
      <c r="B23" s="10"/>
      <c r="C23" s="10"/>
      <c r="D23" s="10"/>
    </row>
    <row r="24" spans="1:4" ht="30" customHeight="1" x14ac:dyDescent="0.3">
      <c r="A24" s="11" t="s">
        <v>1</v>
      </c>
      <c r="B24" s="11" t="s">
        <v>2</v>
      </c>
      <c r="C24" s="11" t="s">
        <v>47</v>
      </c>
      <c r="D24" s="11" t="s">
        <v>4</v>
      </c>
    </row>
    <row r="25" spans="1:4" ht="21" customHeight="1" x14ac:dyDescent="0.3">
      <c r="A25" s="12"/>
      <c r="B25" s="13"/>
      <c r="C25" s="14"/>
      <c r="D25" s="14"/>
    </row>
    <row r="26" spans="1:4" ht="21" customHeight="1" x14ac:dyDescent="0.3">
      <c r="A26" s="12"/>
      <c r="B26" s="13"/>
      <c r="C26" s="14"/>
      <c r="D26" s="14"/>
    </row>
    <row r="27" spans="1:4" ht="21" customHeight="1" x14ac:dyDescent="0.3">
      <c r="A27" s="12"/>
      <c r="B27" s="13"/>
      <c r="C27" s="14"/>
      <c r="D27" s="14"/>
    </row>
    <row r="30" spans="1:4" x14ac:dyDescent="0.3">
      <c r="A30" s="10" t="s">
        <v>48</v>
      </c>
      <c r="B30" s="10"/>
      <c r="C30" s="10"/>
      <c r="D30" s="10"/>
    </row>
    <row r="31" spans="1:4" ht="30" customHeight="1" x14ac:dyDescent="0.3">
      <c r="A31" s="11" t="s">
        <v>1</v>
      </c>
      <c r="B31" s="11" t="s">
        <v>2</v>
      </c>
      <c r="C31" s="11" t="s">
        <v>47</v>
      </c>
      <c r="D31" s="11" t="s">
        <v>4</v>
      </c>
    </row>
    <row r="32" spans="1:4" ht="36" customHeight="1" x14ac:dyDescent="0.3">
      <c r="A32" s="12">
        <v>1</v>
      </c>
      <c r="B32" s="13" t="s">
        <v>49</v>
      </c>
      <c r="C32" s="14" t="s">
        <v>50</v>
      </c>
      <c r="D32" s="14" t="s">
        <v>51</v>
      </c>
    </row>
    <row r="33" spans="1:6" ht="66" customHeight="1" x14ac:dyDescent="0.3">
      <c r="A33" s="12">
        <v>2</v>
      </c>
      <c r="B33" s="13" t="s">
        <v>52</v>
      </c>
      <c r="C33" s="14" t="s">
        <v>53</v>
      </c>
      <c r="D33" s="14"/>
    </row>
    <row r="36" spans="1:6" x14ac:dyDescent="0.3">
      <c r="A36" s="10" t="s">
        <v>54</v>
      </c>
      <c r="B36" s="10"/>
      <c r="C36" s="10"/>
      <c r="D36" s="10"/>
      <c r="E36" s="10"/>
      <c r="F36" s="10"/>
    </row>
    <row r="37" spans="1:6" ht="30" customHeight="1" x14ac:dyDescent="0.3">
      <c r="A37" s="11" t="s">
        <v>1</v>
      </c>
      <c r="B37" s="11" t="s">
        <v>55</v>
      </c>
      <c r="C37" s="11" t="s">
        <v>56</v>
      </c>
      <c r="D37" s="11" t="s">
        <v>57</v>
      </c>
      <c r="E37" s="11" t="s">
        <v>58</v>
      </c>
      <c r="F37" s="11" t="s">
        <v>12</v>
      </c>
    </row>
    <row r="38" spans="1:6" ht="60" customHeight="1" x14ac:dyDescent="0.3">
      <c r="A38" s="12">
        <v>1</v>
      </c>
      <c r="B38" s="13" t="s">
        <v>59</v>
      </c>
      <c r="C38" s="14" t="s">
        <v>60</v>
      </c>
      <c r="D38" s="9" t="s">
        <v>61</v>
      </c>
      <c r="E38" s="8" t="s">
        <v>62</v>
      </c>
      <c r="F38" s="9" t="s">
        <v>63</v>
      </c>
    </row>
    <row r="39" spans="1:6" ht="60" customHeight="1" x14ac:dyDescent="0.3">
      <c r="A39" s="12">
        <v>2</v>
      </c>
      <c r="B39" s="13" t="s">
        <v>64</v>
      </c>
      <c r="C39" s="14" t="s">
        <v>65</v>
      </c>
      <c r="D39" s="9"/>
      <c r="E39" s="9"/>
      <c r="F39" s="9"/>
    </row>
    <row r="42" spans="1:6" x14ac:dyDescent="0.3">
      <c r="A42" s="10" t="s">
        <v>66</v>
      </c>
      <c r="B42" s="10"/>
      <c r="C42" s="10"/>
      <c r="D42" s="10"/>
    </row>
    <row r="43" spans="1:6" ht="30" customHeight="1" x14ac:dyDescent="0.3">
      <c r="A43" s="11" t="s">
        <v>1</v>
      </c>
      <c r="B43" s="11" t="s">
        <v>2</v>
      </c>
      <c r="C43" s="11" t="s">
        <v>67</v>
      </c>
      <c r="D43" s="11" t="s">
        <v>4</v>
      </c>
    </row>
    <row r="44" spans="1:6" ht="36" customHeight="1" x14ac:dyDescent="0.3">
      <c r="A44" s="12">
        <v>1</v>
      </c>
      <c r="B44" s="13" t="s">
        <v>68</v>
      </c>
      <c r="C44" s="14" t="s">
        <v>69</v>
      </c>
      <c r="D44" s="14" t="s">
        <v>70</v>
      </c>
    </row>
    <row r="45" spans="1:6" ht="36" customHeight="1" x14ac:dyDescent="0.3">
      <c r="A45" s="12">
        <v>2</v>
      </c>
      <c r="B45" s="13" t="s">
        <v>71</v>
      </c>
      <c r="C45" s="14" t="s">
        <v>72</v>
      </c>
      <c r="D45" s="14" t="s">
        <v>73</v>
      </c>
    </row>
    <row r="46" spans="1:6" ht="36" customHeight="1" x14ac:dyDescent="0.3">
      <c r="A46" s="12">
        <v>3</v>
      </c>
      <c r="B46" s="13" t="s">
        <v>74</v>
      </c>
      <c r="C46" s="14" t="s">
        <v>75</v>
      </c>
      <c r="D46" s="14" t="s">
        <v>76</v>
      </c>
    </row>
    <row r="47" spans="1:6" ht="36" customHeight="1" x14ac:dyDescent="0.3">
      <c r="A47" s="12">
        <v>4</v>
      </c>
      <c r="B47" s="13" t="s">
        <v>77</v>
      </c>
      <c r="C47" s="14" t="s">
        <v>78</v>
      </c>
      <c r="D47" s="14" t="s">
        <v>79</v>
      </c>
    </row>
  </sheetData>
  <mergeCells count="8">
    <mergeCell ref="A42:D42"/>
    <mergeCell ref="A1:D1"/>
    <mergeCell ref="A23:D23"/>
    <mergeCell ref="A30:D30"/>
    <mergeCell ref="A36:F36"/>
    <mergeCell ref="D38:D39"/>
    <mergeCell ref="E38:E39"/>
    <mergeCell ref="F38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showGridLines="0" zoomScale="85" zoomScaleNormal="85" workbookViewId="0">
      <pane ySplit="3" topLeftCell="A31" activePane="bottomLeft" state="frozen"/>
      <selection pane="bottomLeft" activeCell="D28" sqref="D28"/>
    </sheetView>
  </sheetViews>
  <sheetFormatPr defaultColWidth="8.5546875" defaultRowHeight="14.4" x14ac:dyDescent="0.3"/>
  <cols>
    <col min="1" max="1" width="48.109375" customWidth="1"/>
    <col min="2" max="2" width="16" customWidth="1"/>
    <col min="3" max="3" width="17.44140625" customWidth="1"/>
    <col min="4" max="4" width="18" customWidth="1"/>
    <col min="5" max="5" width="30" customWidth="1"/>
    <col min="6" max="6" width="10" customWidth="1"/>
    <col min="7" max="7" width="35.21875" customWidth="1"/>
  </cols>
  <sheetData>
    <row r="1" spans="1:7" ht="27.75" customHeight="1" x14ac:dyDescent="0.3">
      <c r="A1" s="7" t="s">
        <v>80</v>
      </c>
      <c r="B1" s="7"/>
      <c r="C1" s="7"/>
      <c r="D1" s="7"/>
      <c r="E1" s="7"/>
      <c r="F1" s="7"/>
    </row>
    <row r="2" spans="1:7" ht="15" customHeight="1" x14ac:dyDescent="0.3"/>
    <row r="3" spans="1:7" ht="15" customHeight="1" x14ac:dyDescent="0.3">
      <c r="A3" s="15" t="s">
        <v>81</v>
      </c>
      <c r="B3" s="15" t="s">
        <v>82</v>
      </c>
      <c r="C3" s="15" t="s">
        <v>83</v>
      </c>
      <c r="D3" s="15" t="s">
        <v>84</v>
      </c>
      <c r="E3" s="15" t="s">
        <v>85</v>
      </c>
      <c r="F3" s="15" t="s">
        <v>86</v>
      </c>
      <c r="G3" s="16" t="s">
        <v>87</v>
      </c>
    </row>
    <row r="4" spans="1:7" ht="15" customHeight="1" x14ac:dyDescent="0.3">
      <c r="A4" s="17" t="s">
        <v>88</v>
      </c>
      <c r="B4" s="18"/>
      <c r="C4" s="18"/>
      <c r="D4" s="18"/>
      <c r="E4" s="18"/>
      <c r="F4" s="18"/>
    </row>
    <row r="5" spans="1:7" ht="15" customHeight="1" x14ac:dyDescent="0.3">
      <c r="A5" s="19" t="s">
        <v>89</v>
      </c>
      <c r="B5" s="19" t="s">
        <v>90</v>
      </c>
      <c r="C5" s="19" t="s">
        <v>91</v>
      </c>
      <c r="D5" s="20">
        <v>250000</v>
      </c>
      <c r="E5" s="19" t="s">
        <v>92</v>
      </c>
      <c r="F5" s="19" t="s">
        <v>93</v>
      </c>
      <c r="G5" s="21" t="s">
        <v>94</v>
      </c>
    </row>
    <row r="6" spans="1:7" ht="15" customHeight="1" x14ac:dyDescent="0.3">
      <c r="A6" s="19" t="s">
        <v>89</v>
      </c>
      <c r="B6" s="19" t="s">
        <v>90</v>
      </c>
      <c r="C6" s="19" t="s">
        <v>91</v>
      </c>
      <c r="D6" s="20"/>
      <c r="E6" s="19" t="s">
        <v>92</v>
      </c>
      <c r="F6" s="19" t="s">
        <v>93</v>
      </c>
      <c r="G6" s="21" t="s">
        <v>94</v>
      </c>
    </row>
    <row r="7" spans="1:7" ht="15" customHeight="1" x14ac:dyDescent="0.3">
      <c r="A7" s="19" t="s">
        <v>95</v>
      </c>
      <c r="B7" s="19" t="s">
        <v>90</v>
      </c>
      <c r="C7" s="19" t="s">
        <v>91</v>
      </c>
      <c r="D7" s="20">
        <v>0</v>
      </c>
      <c r="E7" s="19" t="s">
        <v>96</v>
      </c>
      <c r="F7" s="19" t="s">
        <v>93</v>
      </c>
      <c r="G7" s="21" t="s">
        <v>94</v>
      </c>
    </row>
    <row r="8" spans="1:7" ht="15" customHeight="1" x14ac:dyDescent="0.3">
      <c r="A8" s="19" t="s">
        <v>97</v>
      </c>
      <c r="B8" s="19" t="s">
        <v>90</v>
      </c>
      <c r="C8" s="19" t="s">
        <v>91</v>
      </c>
      <c r="D8" s="20">
        <v>0</v>
      </c>
      <c r="E8" s="19" t="s">
        <v>97</v>
      </c>
      <c r="F8" s="19" t="s">
        <v>93</v>
      </c>
      <c r="G8" s="21" t="s">
        <v>94</v>
      </c>
    </row>
    <row r="9" spans="1:7" ht="15" customHeight="1" x14ac:dyDescent="0.3">
      <c r="A9" s="19" t="s">
        <v>98</v>
      </c>
      <c r="B9" s="19" t="s">
        <v>90</v>
      </c>
      <c r="C9" s="19" t="s">
        <v>91</v>
      </c>
      <c r="D9" s="20">
        <v>100000</v>
      </c>
      <c r="E9" s="19" t="s">
        <v>99</v>
      </c>
      <c r="F9" s="19" t="s">
        <v>93</v>
      </c>
      <c r="G9" s="21" t="s">
        <v>94</v>
      </c>
    </row>
    <row r="10" spans="1:7" ht="15" customHeight="1" x14ac:dyDescent="0.3">
      <c r="A10" s="19" t="s">
        <v>100</v>
      </c>
      <c r="B10" s="19" t="s">
        <v>90</v>
      </c>
      <c r="C10" s="19" t="s">
        <v>91</v>
      </c>
      <c r="D10" s="20">
        <v>0</v>
      </c>
      <c r="E10" s="19" t="s">
        <v>100</v>
      </c>
      <c r="F10" s="19" t="s">
        <v>93</v>
      </c>
      <c r="G10" s="21" t="s">
        <v>94</v>
      </c>
    </row>
    <row r="11" spans="1:7" x14ac:dyDescent="0.3">
      <c r="A11" s="22" t="s">
        <v>101</v>
      </c>
      <c r="B11" s="19"/>
      <c r="C11" s="19"/>
      <c r="D11" s="23">
        <f>SUM(D5:D10)</f>
        <v>350000</v>
      </c>
      <c r="E11" s="19"/>
      <c r="F11" s="19"/>
    </row>
    <row r="12" spans="1:7" x14ac:dyDescent="0.3">
      <c r="A12" s="19"/>
      <c r="B12" s="19"/>
      <c r="C12" s="19"/>
      <c r="D12" s="20"/>
      <c r="E12" s="19"/>
      <c r="F12" s="19"/>
    </row>
    <row r="13" spans="1:7" ht="15" customHeight="1" x14ac:dyDescent="0.3">
      <c r="A13" s="22" t="s">
        <v>102</v>
      </c>
      <c r="B13" s="19"/>
      <c r="C13" s="19"/>
      <c r="D13" s="20"/>
      <c r="E13" s="19"/>
      <c r="F13" s="19"/>
    </row>
    <row r="14" spans="1:7" ht="15" customHeight="1" x14ac:dyDescent="0.3">
      <c r="A14" s="19" t="s">
        <v>103</v>
      </c>
      <c r="B14" s="19" t="s">
        <v>90</v>
      </c>
      <c r="C14" s="19" t="s">
        <v>104</v>
      </c>
      <c r="D14" s="20">
        <v>1600000</v>
      </c>
      <c r="E14" s="19"/>
      <c r="F14" s="19" t="s">
        <v>93</v>
      </c>
      <c r="G14" s="21" t="s">
        <v>105</v>
      </c>
    </row>
    <row r="15" spans="1:7" ht="15" customHeight="1" x14ac:dyDescent="0.3">
      <c r="A15" s="19" t="s">
        <v>106</v>
      </c>
      <c r="B15" s="19" t="s">
        <v>90</v>
      </c>
      <c r="C15" s="19" t="s">
        <v>104</v>
      </c>
      <c r="D15" s="20">
        <v>2125000</v>
      </c>
      <c r="E15" s="19"/>
      <c r="F15" s="19" t="s">
        <v>93</v>
      </c>
      <c r="G15" s="21" t="s">
        <v>94</v>
      </c>
    </row>
    <row r="16" spans="1:7" ht="14.25" customHeight="1" x14ac:dyDescent="0.3">
      <c r="A16" s="19" t="s">
        <v>107</v>
      </c>
      <c r="B16" s="19" t="s">
        <v>90</v>
      </c>
      <c r="C16" s="19" t="s">
        <v>108</v>
      </c>
      <c r="D16" s="20">
        <v>375000</v>
      </c>
      <c r="E16" s="19" t="s">
        <v>109</v>
      </c>
      <c r="F16" s="19" t="s">
        <v>93</v>
      </c>
      <c r="G16" s="6" t="s">
        <v>110</v>
      </c>
    </row>
    <row r="17" spans="1:7" ht="15" customHeight="1" x14ac:dyDescent="0.3">
      <c r="A17" s="19" t="s">
        <v>111</v>
      </c>
      <c r="B17" s="19" t="s">
        <v>90</v>
      </c>
      <c r="C17" s="19" t="s">
        <v>108</v>
      </c>
      <c r="D17" s="20">
        <v>0</v>
      </c>
      <c r="E17" s="19" t="s">
        <v>109</v>
      </c>
      <c r="F17" s="19" t="s">
        <v>93</v>
      </c>
      <c r="G17" s="6"/>
    </row>
    <row r="18" spans="1:7" ht="29.25" customHeight="1" x14ac:dyDescent="0.3">
      <c r="A18" s="25" t="s">
        <v>112</v>
      </c>
      <c r="B18" s="26" t="s">
        <v>90</v>
      </c>
      <c r="C18" s="26" t="s">
        <v>108</v>
      </c>
      <c r="D18" s="27">
        <v>140000</v>
      </c>
      <c r="E18" s="26" t="s">
        <v>113</v>
      </c>
      <c r="F18" s="19" t="s">
        <v>93</v>
      </c>
      <c r="G18" s="24" t="s">
        <v>114</v>
      </c>
    </row>
    <row r="19" spans="1:7" x14ac:dyDescent="0.3">
      <c r="A19" s="22" t="s">
        <v>101</v>
      </c>
      <c r="B19" s="19"/>
      <c r="C19" s="19"/>
      <c r="D19" s="23">
        <f>SUM(D13:D18)</f>
        <v>4240000</v>
      </c>
      <c r="E19" s="26"/>
      <c r="F19" s="19"/>
      <c r="G19" s="25"/>
    </row>
    <row r="20" spans="1:7" x14ac:dyDescent="0.3">
      <c r="A20" s="25"/>
      <c r="B20" s="26"/>
      <c r="C20" s="26"/>
      <c r="D20" s="27"/>
      <c r="E20" s="26"/>
      <c r="F20" s="19"/>
      <c r="G20" s="25"/>
    </row>
    <row r="21" spans="1:7" x14ac:dyDescent="0.3">
      <c r="A21" s="22" t="s">
        <v>115</v>
      </c>
    </row>
    <row r="22" spans="1:7" ht="15" customHeight="1" x14ac:dyDescent="0.3">
      <c r="A22" s="19" t="s">
        <v>116</v>
      </c>
      <c r="B22" s="19" t="s">
        <v>117</v>
      </c>
      <c r="C22" s="19" t="s">
        <v>118</v>
      </c>
      <c r="D22" s="20">
        <v>50000</v>
      </c>
      <c r="E22" s="19" t="s">
        <v>116</v>
      </c>
      <c r="F22" s="19" t="s">
        <v>93</v>
      </c>
    </row>
    <row r="23" spans="1:7" ht="15" customHeight="1" x14ac:dyDescent="0.3">
      <c r="A23" s="19" t="s">
        <v>119</v>
      </c>
      <c r="B23" s="19" t="s">
        <v>117</v>
      </c>
      <c r="C23" s="19" t="s">
        <v>118</v>
      </c>
      <c r="D23" s="20">
        <v>5000</v>
      </c>
      <c r="E23" s="19" t="s">
        <v>119</v>
      </c>
      <c r="F23" s="19" t="s">
        <v>93</v>
      </c>
      <c r="G23" s="21" t="s">
        <v>105</v>
      </c>
    </row>
    <row r="24" spans="1:7" ht="15" customHeight="1" x14ac:dyDescent="0.3">
      <c r="A24" s="19" t="s">
        <v>120</v>
      </c>
      <c r="B24" s="19" t="s">
        <v>117</v>
      </c>
      <c r="C24" s="19" t="s">
        <v>118</v>
      </c>
      <c r="D24" s="20">
        <v>35000</v>
      </c>
      <c r="E24" s="19" t="s">
        <v>121</v>
      </c>
      <c r="F24" s="19" t="s">
        <v>93</v>
      </c>
      <c r="G24" s="21" t="s">
        <v>122</v>
      </c>
    </row>
    <row r="25" spans="1:7" ht="15" customHeight="1" x14ac:dyDescent="0.3">
      <c r="A25" s="19" t="s">
        <v>123</v>
      </c>
      <c r="B25" s="19" t="s">
        <v>117</v>
      </c>
      <c r="C25" s="19" t="s">
        <v>118</v>
      </c>
      <c r="D25" s="20">
        <v>5000</v>
      </c>
      <c r="E25" s="19" t="s">
        <v>123</v>
      </c>
      <c r="F25" s="19" t="s">
        <v>93</v>
      </c>
      <c r="G25" s="21" t="s">
        <v>105</v>
      </c>
    </row>
    <row r="26" spans="1:7" ht="15" customHeight="1" x14ac:dyDescent="0.3">
      <c r="A26" s="19" t="s">
        <v>124</v>
      </c>
      <c r="B26" s="19" t="s">
        <v>117</v>
      </c>
      <c r="C26" s="19" t="s">
        <v>118</v>
      </c>
      <c r="D26" s="20">
        <v>0</v>
      </c>
      <c r="E26" s="19" t="s">
        <v>124</v>
      </c>
      <c r="F26" s="19" t="s">
        <v>93</v>
      </c>
      <c r="G26" s="21" t="s">
        <v>105</v>
      </c>
    </row>
    <row r="27" spans="1:7" ht="15" customHeight="1" x14ac:dyDescent="0.3">
      <c r="A27" s="19" t="s">
        <v>125</v>
      </c>
      <c r="B27" s="19" t="s">
        <v>117</v>
      </c>
      <c r="C27" s="19" t="s">
        <v>118</v>
      </c>
      <c r="D27" s="20">
        <v>0</v>
      </c>
      <c r="E27" s="19" t="s">
        <v>125</v>
      </c>
      <c r="F27" s="19" t="s">
        <v>93</v>
      </c>
      <c r="G27" s="21" t="s">
        <v>122</v>
      </c>
    </row>
    <row r="28" spans="1:7" ht="15" customHeight="1" x14ac:dyDescent="0.3">
      <c r="A28" s="19" t="s">
        <v>126</v>
      </c>
      <c r="B28" s="19" t="s">
        <v>117</v>
      </c>
      <c r="C28" s="19" t="s">
        <v>118</v>
      </c>
      <c r="D28" s="20">
        <v>15000</v>
      </c>
      <c r="E28" s="19" t="s">
        <v>126</v>
      </c>
      <c r="F28" s="19" t="s">
        <v>93</v>
      </c>
      <c r="G28" s="21" t="s">
        <v>122</v>
      </c>
    </row>
    <row r="29" spans="1:7" x14ac:dyDescent="0.3">
      <c r="A29" s="22" t="s">
        <v>101</v>
      </c>
      <c r="B29" s="19"/>
      <c r="C29" s="19"/>
      <c r="D29" s="23">
        <f>SUM(D22:D28)</f>
        <v>110000</v>
      </c>
      <c r="E29" s="19"/>
      <c r="F29" s="19"/>
    </row>
    <row r="30" spans="1:7" x14ac:dyDescent="0.3">
      <c r="A30" s="19"/>
      <c r="B30" s="19"/>
      <c r="C30" s="19"/>
      <c r="D30" s="20"/>
      <c r="E30" s="19"/>
      <c r="F30" s="19"/>
    </row>
    <row r="31" spans="1:7" ht="15" customHeight="1" x14ac:dyDescent="0.3">
      <c r="A31" s="22" t="s">
        <v>127</v>
      </c>
      <c r="B31" s="19"/>
      <c r="C31" s="19"/>
      <c r="D31" s="20"/>
      <c r="E31" s="19"/>
      <c r="F31" s="19"/>
    </row>
    <row r="32" spans="1:7" ht="29.25" customHeight="1" x14ac:dyDescent="0.3">
      <c r="A32" s="19" t="s">
        <v>128</v>
      </c>
      <c r="B32" s="19" t="s">
        <v>117</v>
      </c>
      <c r="C32" s="19" t="s">
        <v>129</v>
      </c>
      <c r="D32" s="20">
        <v>50000</v>
      </c>
      <c r="E32" s="19" t="s">
        <v>130</v>
      </c>
      <c r="F32" s="19" t="s">
        <v>93</v>
      </c>
      <c r="G32" s="28" t="s">
        <v>131</v>
      </c>
    </row>
    <row r="33" spans="1:7" ht="29.25" customHeight="1" x14ac:dyDescent="0.3">
      <c r="A33" s="19" t="s">
        <v>132</v>
      </c>
      <c r="B33" s="19" t="s">
        <v>117</v>
      </c>
      <c r="C33" s="19" t="s">
        <v>129</v>
      </c>
      <c r="D33" s="20">
        <v>40000</v>
      </c>
      <c r="E33" s="19" t="s">
        <v>133</v>
      </c>
      <c r="F33" s="19" t="s">
        <v>93</v>
      </c>
      <c r="G33" s="28" t="s">
        <v>131</v>
      </c>
    </row>
    <row r="34" spans="1:7" x14ac:dyDescent="0.3">
      <c r="A34" s="22" t="s">
        <v>101</v>
      </c>
      <c r="B34" s="22"/>
      <c r="C34" s="22"/>
      <c r="D34" s="23">
        <f>SUM(D32:D33)</f>
        <v>90000</v>
      </c>
      <c r="E34" s="19"/>
      <c r="F34" s="19"/>
    </row>
    <row r="36" spans="1:7" x14ac:dyDescent="0.3">
      <c r="A36" s="29" t="s">
        <v>134</v>
      </c>
    </row>
    <row r="39" spans="1:7" ht="28.8" x14ac:dyDescent="0.3">
      <c r="C39" s="22" t="s">
        <v>135</v>
      </c>
      <c r="D39" s="30">
        <f>D11+D19</f>
        <v>4590000</v>
      </c>
      <c r="E39" s="22" t="s">
        <v>136</v>
      </c>
    </row>
    <row r="40" spans="1:7" ht="43.2" x14ac:dyDescent="0.3">
      <c r="C40" s="22" t="s">
        <v>137</v>
      </c>
      <c r="D40" s="31">
        <f>D29+D34</f>
        <v>200000</v>
      </c>
      <c r="E40" s="22" t="s">
        <v>138</v>
      </c>
    </row>
  </sheetData>
  <autoFilter ref="A3:F28" xr:uid="{00000000-0009-0000-0000-000001000000}"/>
  <mergeCells count="2">
    <mergeCell ref="A1:F1"/>
    <mergeCell ref="G16:G17"/>
  </mergeCells>
  <dataValidations count="1">
    <dataValidation type="list" sqref="B5:B20 B22:B115" xr:uid="{00000000-0002-0000-0100-000000000000}">
      <formula1>"Fixed,Variable,Semi-Variable"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7" sqref="I17"/>
    </sheetView>
  </sheetViews>
  <sheetFormatPr defaultColWidth="8.6640625" defaultRowHeight="14.4" x14ac:dyDescent="0.3"/>
  <cols>
    <col min="1" max="1" width="5" style="32" customWidth="1"/>
    <col min="2" max="2" width="7" style="32" customWidth="1"/>
    <col min="3" max="3" width="10" style="32" customWidth="1"/>
    <col min="4" max="4" width="15" style="32" customWidth="1"/>
    <col min="5" max="6" width="14" style="32" customWidth="1"/>
    <col min="7" max="7" width="15.44140625" style="32" customWidth="1"/>
    <col min="8" max="8" width="16" style="32" customWidth="1"/>
    <col min="9" max="9" width="15" style="32" customWidth="1"/>
    <col min="10" max="10" width="19.88671875" style="32" customWidth="1"/>
    <col min="11" max="12" width="18.44140625" style="32" customWidth="1"/>
    <col min="13" max="13" width="19" style="32" customWidth="1"/>
    <col min="14" max="14" width="17" style="32" customWidth="1"/>
    <col min="15" max="15" width="13.5546875" style="32" customWidth="1"/>
    <col min="16" max="16384" width="8.6640625" style="32"/>
  </cols>
  <sheetData>
    <row r="1" spans="1:15" ht="17.25" customHeight="1" x14ac:dyDescent="0.3">
      <c r="A1" s="33" t="s">
        <v>139</v>
      </c>
    </row>
    <row r="3" spans="1:15" ht="36" customHeight="1" x14ac:dyDescent="0.3">
      <c r="A3" s="5" t="s">
        <v>1</v>
      </c>
      <c r="B3" s="5" t="s">
        <v>140</v>
      </c>
      <c r="C3" s="5"/>
      <c r="D3" s="5"/>
      <c r="E3" s="4" t="s">
        <v>141</v>
      </c>
      <c r="F3" s="4"/>
      <c r="G3" s="4"/>
      <c r="H3" s="3" t="s">
        <v>142</v>
      </c>
      <c r="I3" s="3"/>
      <c r="J3" s="3"/>
      <c r="K3" s="3"/>
      <c r="L3" s="2" t="s">
        <v>143</v>
      </c>
      <c r="M3" s="37" t="s">
        <v>144</v>
      </c>
      <c r="N3" s="1" t="s">
        <v>145</v>
      </c>
      <c r="O3" s="1"/>
    </row>
    <row r="4" spans="1:15" ht="54.75" customHeight="1" x14ac:dyDescent="0.3">
      <c r="A4" s="5"/>
      <c r="B4" s="34" t="s">
        <v>108</v>
      </c>
      <c r="C4" s="34" t="s">
        <v>146</v>
      </c>
      <c r="D4" s="34" t="s">
        <v>147</v>
      </c>
      <c r="E4" s="35" t="s">
        <v>148</v>
      </c>
      <c r="F4" s="35" t="s">
        <v>149</v>
      </c>
      <c r="G4" s="35" t="s">
        <v>150</v>
      </c>
      <c r="H4" s="36" t="s">
        <v>151</v>
      </c>
      <c r="I4" s="36" t="s">
        <v>152</v>
      </c>
      <c r="J4" s="36" t="s">
        <v>153</v>
      </c>
      <c r="K4" s="36" t="s">
        <v>154</v>
      </c>
      <c r="L4" s="2"/>
      <c r="M4" s="37" t="s">
        <v>155</v>
      </c>
      <c r="N4" s="38" t="s">
        <v>156</v>
      </c>
      <c r="O4" s="38" t="s">
        <v>157</v>
      </c>
    </row>
    <row r="5" spans="1:15" x14ac:dyDescent="0.3">
      <c r="A5" s="39">
        <v>1</v>
      </c>
      <c r="B5" s="40">
        <v>2</v>
      </c>
      <c r="C5" s="40">
        <v>25</v>
      </c>
      <c r="D5" s="41"/>
      <c r="E5" s="42">
        <f>'Cost Master'!$D$11</f>
        <v>350000</v>
      </c>
      <c r="F5" s="42">
        <f>'Cost Master'!$D$19</f>
        <v>4240000</v>
      </c>
      <c r="G5" s="42">
        <f t="shared" ref="G5:G10" si="0">E5+(F5*B5)</f>
        <v>8830000</v>
      </c>
      <c r="H5" s="42">
        <f>'Cost Master'!$D$29</f>
        <v>110000</v>
      </c>
      <c r="I5" s="42">
        <f>'Cost Master'!$D$34</f>
        <v>90000</v>
      </c>
      <c r="J5" s="42">
        <f t="shared" ref="J5:J10" si="1">H5+(I5*B5)</f>
        <v>290000</v>
      </c>
      <c r="K5" s="42">
        <f t="shared" ref="K5:K10" si="2">J5*C5</f>
        <v>7250000</v>
      </c>
      <c r="L5" s="42">
        <f t="shared" ref="L5:L10" si="3">G5+K5</f>
        <v>16080000</v>
      </c>
      <c r="M5" s="42">
        <f t="shared" ref="M5:M10" si="4">D5*C5</f>
        <v>0</v>
      </c>
      <c r="N5" s="43">
        <f t="shared" ref="N5:N10" si="5">M5-L5</f>
        <v>-16080000</v>
      </c>
      <c r="O5" s="42">
        <f t="shared" ref="O5:O10" si="6">L5/C5</f>
        <v>643200</v>
      </c>
    </row>
    <row r="6" spans="1:15" x14ac:dyDescent="0.3">
      <c r="A6" s="39">
        <v>2</v>
      </c>
      <c r="B6" s="40">
        <v>2</v>
      </c>
      <c r="C6" s="40">
        <v>11</v>
      </c>
      <c r="D6" s="41"/>
      <c r="E6" s="42">
        <f>'Cost Master'!$D$11</f>
        <v>350000</v>
      </c>
      <c r="F6" s="42">
        <f>'Cost Master'!$D$19</f>
        <v>4240000</v>
      </c>
      <c r="G6" s="42">
        <f t="shared" si="0"/>
        <v>8830000</v>
      </c>
      <c r="H6" s="42">
        <f>'Cost Master'!$D$29</f>
        <v>110000</v>
      </c>
      <c r="I6" s="42">
        <f>'Cost Master'!$D$34</f>
        <v>90000</v>
      </c>
      <c r="J6" s="42">
        <f t="shared" si="1"/>
        <v>290000</v>
      </c>
      <c r="K6" s="42">
        <f t="shared" si="2"/>
        <v>3190000</v>
      </c>
      <c r="L6" s="42">
        <f t="shared" si="3"/>
        <v>12020000</v>
      </c>
      <c r="M6" s="42">
        <f t="shared" si="4"/>
        <v>0</v>
      </c>
      <c r="N6" s="43">
        <f t="shared" si="5"/>
        <v>-12020000</v>
      </c>
      <c r="O6" s="42">
        <f t="shared" si="6"/>
        <v>1092727.2727272727</v>
      </c>
    </row>
    <row r="7" spans="1:15" x14ac:dyDescent="0.3">
      <c r="A7" s="39">
        <v>3</v>
      </c>
      <c r="B7" s="40">
        <v>3</v>
      </c>
      <c r="C7" s="40">
        <v>10</v>
      </c>
      <c r="D7" s="41"/>
      <c r="E7" s="42">
        <f>'Cost Master'!$D$11</f>
        <v>350000</v>
      </c>
      <c r="F7" s="42">
        <f>'Cost Master'!$D$19</f>
        <v>4240000</v>
      </c>
      <c r="G7" s="42">
        <f t="shared" si="0"/>
        <v>13070000</v>
      </c>
      <c r="H7" s="42">
        <f>'Cost Master'!$D$29</f>
        <v>110000</v>
      </c>
      <c r="I7" s="42">
        <f>'Cost Master'!$D$34</f>
        <v>90000</v>
      </c>
      <c r="J7" s="42">
        <f t="shared" si="1"/>
        <v>380000</v>
      </c>
      <c r="K7" s="42">
        <f t="shared" si="2"/>
        <v>3800000</v>
      </c>
      <c r="L7" s="42">
        <f t="shared" si="3"/>
        <v>16870000</v>
      </c>
      <c r="M7" s="42">
        <f t="shared" si="4"/>
        <v>0</v>
      </c>
      <c r="N7" s="43">
        <f t="shared" si="5"/>
        <v>-16870000</v>
      </c>
      <c r="O7" s="42">
        <f t="shared" si="6"/>
        <v>1687000</v>
      </c>
    </row>
    <row r="8" spans="1:15" x14ac:dyDescent="0.3">
      <c r="A8" s="39">
        <v>4</v>
      </c>
      <c r="B8" s="40">
        <v>3</v>
      </c>
      <c r="C8" s="40">
        <v>10</v>
      </c>
      <c r="D8" s="41"/>
      <c r="E8" s="42">
        <f>'Cost Master'!$D$11</f>
        <v>350000</v>
      </c>
      <c r="F8" s="42">
        <f>'Cost Master'!$D$19</f>
        <v>4240000</v>
      </c>
      <c r="G8" s="42">
        <f t="shared" si="0"/>
        <v>13070000</v>
      </c>
      <c r="H8" s="42">
        <f>'Cost Master'!$D$29</f>
        <v>110000</v>
      </c>
      <c r="I8" s="42">
        <f>'Cost Master'!$D$34</f>
        <v>90000</v>
      </c>
      <c r="J8" s="42">
        <f t="shared" si="1"/>
        <v>380000</v>
      </c>
      <c r="K8" s="42">
        <f t="shared" si="2"/>
        <v>3800000</v>
      </c>
      <c r="L8" s="42">
        <f t="shared" si="3"/>
        <v>16870000</v>
      </c>
      <c r="M8" s="42">
        <f t="shared" si="4"/>
        <v>0</v>
      </c>
      <c r="N8" s="43">
        <f t="shared" si="5"/>
        <v>-16870000</v>
      </c>
      <c r="O8" s="42">
        <f t="shared" si="6"/>
        <v>1687000</v>
      </c>
    </row>
    <row r="9" spans="1:15" x14ac:dyDescent="0.3">
      <c r="A9" s="39">
        <v>5</v>
      </c>
      <c r="B9" s="40">
        <v>1</v>
      </c>
      <c r="C9" s="40">
        <v>20</v>
      </c>
      <c r="D9" s="41"/>
      <c r="E9" s="42">
        <f>'Cost Master'!$D$11</f>
        <v>350000</v>
      </c>
      <c r="F9" s="42">
        <f>'Cost Master'!$D$19</f>
        <v>4240000</v>
      </c>
      <c r="G9" s="42">
        <f t="shared" si="0"/>
        <v>4590000</v>
      </c>
      <c r="H9" s="42">
        <f>'Cost Master'!$D$29</f>
        <v>110000</v>
      </c>
      <c r="I9" s="42">
        <f>'Cost Master'!$D$34</f>
        <v>90000</v>
      </c>
      <c r="J9" s="42">
        <f t="shared" si="1"/>
        <v>200000</v>
      </c>
      <c r="K9" s="42">
        <f t="shared" si="2"/>
        <v>4000000</v>
      </c>
      <c r="L9" s="42">
        <f t="shared" si="3"/>
        <v>8590000</v>
      </c>
      <c r="M9" s="42">
        <f t="shared" si="4"/>
        <v>0</v>
      </c>
      <c r="N9" s="43">
        <f t="shared" si="5"/>
        <v>-8590000</v>
      </c>
      <c r="O9" s="42">
        <f t="shared" si="6"/>
        <v>429500</v>
      </c>
    </row>
    <row r="10" spans="1:15" x14ac:dyDescent="0.3">
      <c r="A10" s="39">
        <v>6</v>
      </c>
      <c r="B10" s="40">
        <v>1</v>
      </c>
      <c r="C10" s="40">
        <v>20</v>
      </c>
      <c r="D10" s="41"/>
      <c r="E10" s="42">
        <f>'Cost Master'!$D$11</f>
        <v>350000</v>
      </c>
      <c r="F10" s="42">
        <f>'Cost Master'!$D$19</f>
        <v>4240000</v>
      </c>
      <c r="G10" s="42">
        <f t="shared" si="0"/>
        <v>4590000</v>
      </c>
      <c r="H10" s="42">
        <f>'Cost Master'!$D$29</f>
        <v>110000</v>
      </c>
      <c r="I10" s="42">
        <f>'Cost Master'!$D$34</f>
        <v>90000</v>
      </c>
      <c r="J10" s="42">
        <f t="shared" si="1"/>
        <v>200000</v>
      </c>
      <c r="K10" s="42">
        <f t="shared" si="2"/>
        <v>4000000</v>
      </c>
      <c r="L10" s="42">
        <f t="shared" si="3"/>
        <v>8590000</v>
      </c>
      <c r="M10" s="42">
        <f t="shared" si="4"/>
        <v>0</v>
      </c>
      <c r="N10" s="43">
        <f t="shared" si="5"/>
        <v>-8590000</v>
      </c>
      <c r="O10" s="42">
        <f t="shared" si="6"/>
        <v>429500</v>
      </c>
    </row>
    <row r="13" spans="1:15" x14ac:dyDescent="0.3">
      <c r="A13" s="44"/>
    </row>
    <row r="14" spans="1:15" x14ac:dyDescent="0.3">
      <c r="A14" s="45"/>
      <c r="B14" s="46"/>
    </row>
    <row r="15" spans="1:15" x14ac:dyDescent="0.3">
      <c r="A15" s="45"/>
    </row>
    <row r="16" spans="1:15" x14ac:dyDescent="0.3">
      <c r="A16" s="45"/>
    </row>
    <row r="17" spans="1:1" x14ac:dyDescent="0.3">
      <c r="A17" s="45"/>
    </row>
  </sheetData>
  <mergeCells count="6">
    <mergeCell ref="N3:O3"/>
    <mergeCell ref="A3:A4"/>
    <mergeCell ref="B3:D3"/>
    <mergeCell ref="E3:G3"/>
    <mergeCell ref="H3:K3"/>
    <mergeCell ref="L3:L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Program</vt:lpstr>
      <vt:lpstr>Cost Master</vt:lpstr>
      <vt:lpstr>Simulasi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SentralImprovement 005</dc:creator>
  <dc:description/>
  <cp:lastModifiedBy>SentralImprovement 005</cp:lastModifiedBy>
  <cp:revision>0</cp:revision>
  <dcterms:created xsi:type="dcterms:W3CDTF">2026-10-22T03:04:06Z</dcterms:created>
  <dcterms:modified xsi:type="dcterms:W3CDTF">2026-10-23T05:57:27Z</dcterms:modified>
  <dc:language>en-US</dc:language>
</cp:coreProperties>
</file>